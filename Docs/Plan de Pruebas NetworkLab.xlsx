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guti\Downloads\"/>
    </mc:Choice>
  </mc:AlternateContent>
  <xr:revisionPtr revIDLastSave="0" documentId="13_ncr:1_{706C4BFC-A611-403D-90D4-75EB8EFB18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rtada" sheetId="1" r:id="rId1"/>
    <sheet name="Plan de prueba" sheetId="3" r:id="rId2"/>
    <sheet name="Control" sheetId="4" r:id="rId3"/>
    <sheet name="Datos" sheetId="5" r:id="rId4"/>
    <sheet name="Datos del plan" sheetId="6" state="hidden" r:id="rId5"/>
  </sheets>
  <definedNames>
    <definedName name="_xlnm._FilterDatabase" localSheetId="1" hidden="1">'Plan de prueba'!$A$1:$P$313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6mpzAQtFpj2ITEuMPvi2xHEMxie3UkSR8+CM9uI5mSc="/>
    </ext>
  </extLst>
</workbook>
</file>

<file path=xl/calcChain.xml><?xml version="1.0" encoding="utf-8"?>
<calcChain xmlns="http://schemas.openxmlformats.org/spreadsheetml/2006/main">
  <c r="F20" i="4" l="1"/>
  <c r="F19" i="4"/>
  <c r="F18" i="4"/>
  <c r="D13" i="4"/>
  <c r="D10" i="4"/>
  <c r="D9" i="4"/>
  <c r="D8" i="4"/>
  <c r="D7" i="4"/>
  <c r="D6" i="4"/>
  <c r="F23" i="4" l="1"/>
  <c r="D14" i="4"/>
</calcChain>
</file>

<file path=xl/sharedStrings.xml><?xml version="1.0" encoding="utf-8"?>
<sst xmlns="http://schemas.openxmlformats.org/spreadsheetml/2006/main" count="709" uniqueCount="223">
  <si>
    <t>Resultado</t>
  </si>
  <si>
    <t>Bloqueado</t>
  </si>
  <si>
    <t>NOK</t>
  </si>
  <si>
    <t>OK</t>
  </si>
  <si>
    <t>Candidato a automatizar</t>
  </si>
  <si>
    <t>NO</t>
  </si>
  <si>
    <t>SI</t>
  </si>
  <si>
    <t xml:space="preserve"> 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</si>
  <si>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</si>
  <si>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</si>
  <si>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</si>
  <si>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</si>
  <si>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</si>
  <si>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</si>
  <si>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</si>
  <si>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</si>
  <si>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</si>
  <si>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Responsable ejecución</t>
  </si>
  <si>
    <t>Funcional</t>
  </si>
  <si>
    <t>Caja Negra</t>
  </si>
  <si>
    <t>Caja Blanca</t>
  </si>
  <si>
    <t>No ejecutado</t>
  </si>
  <si>
    <t>End to End</t>
  </si>
  <si>
    <t>Casos</t>
  </si>
  <si>
    <t>Obsoleto</t>
  </si>
  <si>
    <t>Total de casos</t>
  </si>
  <si>
    <t>% de  avance</t>
  </si>
  <si>
    <t>Total casos que ejecuto cada integrante del equipo</t>
  </si>
  <si>
    <t>Total Casos</t>
  </si>
  <si>
    <t>No Funcional</t>
  </si>
  <si>
    <t>Completar</t>
  </si>
  <si>
    <t>Hibrido</t>
  </si>
  <si>
    <t>Baja</t>
  </si>
  <si>
    <t>Media</t>
  </si>
  <si>
    <t>UAT</t>
  </si>
  <si>
    <t>Alta</t>
  </si>
  <si>
    <t>Código</t>
  </si>
  <si>
    <t>Stress</t>
  </si>
  <si>
    <t>Rendimiento</t>
  </si>
  <si>
    <t>Carga</t>
  </si>
  <si>
    <t>MTC</t>
  </si>
  <si>
    <t>ID</t>
  </si>
  <si>
    <t>MTC_0001</t>
  </si>
  <si>
    <t>Validar inicio de sesión con credenciales válidas</t>
  </si>
  <si>
    <t>MTC_0002</t>
  </si>
  <si>
    <t>MTC_0003</t>
  </si>
  <si>
    <t>MTC_0004</t>
  </si>
  <si>
    <t>MTC_0005</t>
  </si>
  <si>
    <t>MTC_0006</t>
  </si>
  <si>
    <t>MTC_0007</t>
  </si>
  <si>
    <t>MTC_0008</t>
  </si>
  <si>
    <t>MTC_0009</t>
  </si>
  <si>
    <t>MTC_0010</t>
  </si>
  <si>
    <t>MTC_0011</t>
  </si>
  <si>
    <t>MTC_0012</t>
  </si>
  <si>
    <t>MTC_0013</t>
  </si>
  <si>
    <t>MTC_0014</t>
  </si>
  <si>
    <t>MTC_0015</t>
  </si>
  <si>
    <t>MTC_0016</t>
  </si>
  <si>
    <t>MTC_0017</t>
  </si>
  <si>
    <t>MTC_0018</t>
  </si>
  <si>
    <t>MTC_0019</t>
  </si>
  <si>
    <t>MTC_0020</t>
  </si>
  <si>
    <t>MTC_0021</t>
  </si>
  <si>
    <t>MTC_0022</t>
  </si>
  <si>
    <t>MTC_0023</t>
  </si>
  <si>
    <t>El sistema permite acceder correctamente al dashboard del usuario según su rol asignado.</t>
  </si>
  <si>
    <t>Usuario previamente registrado con credenciales válidas y rol activo en la base de datos.</t>
  </si>
  <si>
    <t>Joel Gutiérrez</t>
  </si>
  <si>
    <t>El sistema autentica, genera token JWT y redirige al dashboard correspondiente (sin errores)</t>
  </si>
  <si>
    <t>Usuario: “admin@networklab.cl”
Contraseña: “Admin123*”</t>
  </si>
  <si>
    <t>Autenticación / Login</t>
  </si>
  <si>
    <t>El usuario debe poder iniciar sesión y visualizar su panel sin errores ni mensajes de validación.</t>
  </si>
  <si>
    <t>Validar creación de un nuevo servicio desde el panel del laboratorio</t>
  </si>
  <si>
    <t>El sistema guarda correctamente el nuevo servicio y lo muestra en el Marketplace de manera visible.</t>
  </si>
  <si>
    <t>Usuario logueado con rol “Lab Manager” y laboratorio asociado.</t>
  </si>
  <si>
    <t>El servicio se registra en la base de datos y aparece publicado con estado “Activo”.</t>
  </si>
  <si>
    <t>Nombre del servicio: “Análisis de muestras biológicas”
Área: “Salud”
Estado: “Activo”</t>
  </si>
  <si>
    <t>Gestión de Laboratorios / Marketplace</t>
  </si>
  <si>
    <t>El sistema debe permitir registrar servicios válidos y reflejarlos en el listado del Marketplace sin errores.</t>
  </si>
  <si>
    <t>Validar registro de nueva institución académica</t>
  </si>
  <si>
    <t>La institución se registra correctamente y aparece en el listado del módulo de gestión.</t>
  </si>
  <si>
    <t>Usuario con rol “Administrador” logueado en el sistema.</t>
  </si>
  <si>
    <t>La institución fue creada y listada sin errores en la vista de detalle.</t>
  </si>
  <si>
    <t>Nombre: “Universidad del Pacífico”
Tipo: “Universidad”</t>
  </si>
  <si>
    <t>Gestión de Instituciones</t>
  </si>
  <si>
    <t xml:space="preserve">Integrantes: Joel Gutiérrez A.
</t>
  </si>
  <si>
    <t xml:space="preserve">Plan de prueba NetworkLab </t>
  </si>
  <si>
    <t>Validar edición de datos de perfil de usuario</t>
  </si>
  <si>
    <t>Los datos del usuario se actualizan correctamente en la base de datos y se muestran actualizados en el perfil.</t>
  </si>
  <si>
    <t>Usuario autenticado con sesión activa.</t>
  </si>
  <si>
    <t>Los cambios en el perfil se guardan correctamente y se reflejan en la interfaz</t>
  </si>
  <si>
    <t>Nombre: “Carlos Pérez”
Institución: “Universidad de Chile”</t>
  </si>
  <si>
    <t>Gestión de Perfil</t>
  </si>
  <si>
    <t>El usuario debe poder modificar sus datos personales y visualizar los cambios sin recargar el sitio.</t>
  </si>
  <si>
    <t>GestiónEl sistema debe permitir registrar instituciones únicas y visibles para el administrador. de Instituciones</t>
  </si>
  <si>
    <t>Validar aplicación de filtros en el Marketplace de proveedores</t>
  </si>
  <si>
    <t>El sistema filtra correctamente los proveedores según el criterio seleccionado y actualiza la vista sin errores.</t>
  </si>
  <si>
    <t>Usuario autenticado con acceso al módulo Marketplace.</t>
  </si>
  <si>
    <t>Los resultados se ajustan al filtro aplicado y las tarjetas se muestran correctamente.</t>
  </si>
  <si>
    <t>Filtro aplicado: “Química / Equipamiento”</t>
  </si>
  <si>
    <t>Marketplace</t>
  </si>
  <si>
    <t>El sistema debe mostrar resultados coherentes con los filtros seleccionados.</t>
  </si>
  <si>
    <t>Validar sticky header en navegación del dashboard</t>
  </si>
  <si>
    <t>El header se mantiene fijo en la parte superior del sitio al hacer scroll, sin solapar el contenido.</t>
  </si>
  <si>
    <t>Acceso al dashboard (usuario autenticado).</t>
  </si>
  <si>
    <t>El header permanece visible y no oculta el contenido en distintas resoluciones.</t>
  </si>
  <si>
    <t>Resolución: 1920×1080, 1024×768 y 480×800</t>
  </si>
  <si>
    <t>Interfaz global (Header)</t>
  </si>
  <si>
    <t>El header debe permanecer visible sin superponer el contenido ni romper el diseño.</t>
  </si>
  <si>
    <t>Validar manejo de error al crear laboratorio sin campos obligatorios</t>
  </si>
  <si>
    <t>El sistema muestra un mensaje de error indicando los campos faltantes y no guarda el registro.</t>
  </si>
  <si>
    <t>Usuario con rol “Administrador” o “Lab Manager” logueado.</t>
  </si>
  <si>
    <t>El sistema arroja mensaje de validación y evita la creación del laboratorio vacío.</t>
  </si>
  <si>
    <t>Nombre: “” (vacío)
Institución: “Universidad de Santiago”</t>
  </si>
  <si>
    <t>Los campos obligatorios deben validarse y mostrar mensajes claros al usuario.</t>
  </si>
  <si>
    <t>Gestión de Laboratorios</t>
  </si>
  <si>
    <t>Verificar estabilidad y funcionamiento general del sistema</t>
  </si>
  <si>
    <t>La plataforma se ejecuta correctamente sin presentar errores o interrupciones durante su uso normal.</t>
  </si>
  <si>
    <t>Aplicación web funcionando en entorno de pruebas y conexión estable a internet.</t>
  </si>
  <si>
    <t>El sistema se mantiene estable y permite navegar entre los distintos módulos sin fallos.</t>
  </si>
  <si>
    <t>Navegación general por los módulos: login, dashboard, marketplace, perfil y servicios.</t>
  </si>
  <si>
    <t>Plataforma completa</t>
  </si>
  <si>
    <t>La aplicación debe mantener un funcionamiento continuo sin errores visibles ni cierres inesperados.</t>
  </si>
  <si>
    <t>No</t>
  </si>
  <si>
    <t>Verificar que las páginas carguen correctamente en distintos dispositivos y navegadores</t>
  </si>
  <si>
    <t>Las vistas principales (login, dashboard y marketplace) se visualizan correctamente en computador, tablet y teléfono.</t>
  </si>
  <si>
    <t>Aplicación desplegada en versión de prueba.</t>
  </si>
  <si>
    <t>Todas las páginas cargan correctamente y mantienen su formato en distintos tamaños de pantalla.</t>
  </si>
  <si>
    <t>Navegadores: Chrome, Firefox, Safari móvil</t>
  </si>
  <si>
    <t>Interfaz de usuario (UI global</t>
  </si>
  <si>
    <t>El diseño debe ser legible y funcional en diferentes tamaños de pantalla sin errores visuales.</t>
  </si>
  <si>
    <t>Evaluar el comportamiento del sistema con varios usuarios conectados al mismo tiempo</t>
  </si>
  <si>
    <t>El sistema responde correctamente cuando varios usuarios realizan acciones al mismo tiempo sin que se bloquee o se vuelva muy lento.</t>
  </si>
  <si>
    <t>Plataforma desplegada y accesible; base de datos activa.</t>
  </si>
  <si>
    <t>La aplicación mantiene su funcionamiento normal con varios usuarios realizando acciones simultáneas.</t>
  </si>
  <si>
    <t>20 usuarios conectados simulando inicio de sesión y navegación por el dashboard.</t>
  </si>
  <si>
    <t>El sistema debe seguir funcionando con normalidad mientras varios usuarios lo usan al mismo tiempo.</t>
  </si>
  <si>
    <t>Evaluar el comportamiento del sistema ante un uso excesivo o muy intenso</t>
  </si>
  <si>
    <t>El sistema muestra mensajes de error controlados o se recupera correctamente sin caerse ni perder datos cuando se supera su capacidad normal.</t>
  </si>
  <si>
    <t>Aplicación en ejecución y base de datos con registros de prueba.</t>
  </si>
  <si>
    <t>El sistema presenta lentitud momentánea, pero no se detiene ni muestra errores críticos.</t>
  </si>
  <si>
    <t>50 usuarios simulados realizando peticiones de inicio de sesión y consulta de servicios de forma continua.</t>
  </si>
  <si>
    <t>Backend / Autenticación y Marketplace</t>
  </si>
  <si>
    <t>El sistema debe manejar correctamente una alta carga de solicitudes sin colapsar ni mostrar errores graves.</t>
  </si>
  <si>
    <t>Validar la visualización de métricas en el panel administrativo</t>
  </si>
  <si>
    <t>El sistema muestra correctamente las métricas de usuarios, instituciones y laboratorios sin errores ni valores vacíos.</t>
  </si>
  <si>
    <t>Las métricas se visualizan correctamente en el panel, actualizadas con los datos de la base.</t>
  </si>
  <si>
    <t>Usuario: admin@networklab.cl
Contraseña: Admin123*</t>
  </si>
  <si>
    <t>Dashboard Administrativo</t>
  </si>
  <si>
    <t>Los valores de las métricas deben corresponder a los registros reales de la base de datos.</t>
  </si>
  <si>
    <t>Validar la edición de un servicio publicado en el marketplace</t>
  </si>
  <si>
    <t>El sistema permite modificar la información de un servicio y actualiza los datos en la vista del marketplace.</t>
  </si>
  <si>
    <t>Usuario con rol “Lab Manager” autenticado y con servicios previamente publicados.</t>
  </si>
  <si>
    <t>El servicio se actualiza correctamente y los cambios se reflejan en el marketplace sin errores.</t>
  </si>
  <si>
    <t>Servicio: “Análisis de ADN” → cambiar a “Análisis Genético Avanzado”</t>
  </si>
  <si>
    <t>Los cambios deben guardarse correctamente y reflejarse en la interfaz sin recargar la página.</t>
  </si>
  <si>
    <t>Validar el cambio de contraseña del usuario desde el perfil</t>
  </si>
  <si>
    <t>El sistema actualiza la contraseña correctamente y permite iniciar sesión con la nueva clave.</t>
  </si>
  <si>
    <t>Usuario autenticado en su cuenta.</t>
  </si>
  <si>
    <t>Contraseña cambiada exitosamente; el login posterior con la nueva clave funciona.</t>
  </si>
  <si>
    <t>Contraseña anterior: “Admin123*”
Nueva contraseña: “Admin2025*”</t>
  </si>
  <si>
    <t>Perfil de Usuario</t>
  </si>
  <si>
    <t>El sistema debe validar los campos, actualizar la contraseña y permitir acceso con la nueva credencial.</t>
  </si>
  <si>
    <t>Validar el registro de un nuevo usuario desde la página pública de NetworkLab</t>
  </si>
  <si>
    <t>El sistema permite registrar un nuevo usuario, mostrando un mensaje de confirmación y enviando el acceso al correo electrónico ingresado.</t>
  </si>
  <si>
    <t>Página pública de NetworkLab disponible y conexión activa al servidor backend.</t>
  </si>
  <si>
    <t>El usuario se registra correctamente y puede iniciar sesión con las credenciales creadas.</t>
  </si>
  <si>
    <t>Nombre: “María González”
Email: “maria.gonzalez@correo.cl”
Contraseña: “M4r14@2025”</t>
  </si>
  <si>
    <t>Registro de Usuario (Página Pública)</t>
  </si>
  <si>
    <t>El sistema debe validar los campos requeridos, evitar correos duplicados y confirmar el registro exitoso del usuario.</t>
  </si>
  <si>
    <t>Verificar cifrado de contraseñas en la base de datos</t>
  </si>
  <si>
    <t>Las contraseñas de los usuarios deben almacenarse cifradas (hash bcrypt) y no en texto plano.</t>
  </si>
  <si>
    <t>Acceso a la base de datos de prueba con usuarios registrados.</t>
  </si>
  <si>
    <t>Las contraseñas almacenadas aparecen cifradas (hash largo con prefijo $2b$).</t>
  </si>
  <si>
    <t>Usuario registrado: admin@networklab.cl
 / Contraseña: Admin123*</t>
  </si>
  <si>
    <t>Backend – Seguridad y autenticación</t>
  </si>
  <si>
    <t>Ninguna contraseña debe estar visible o legible directamente desde la base de datos.</t>
  </si>
  <si>
    <t>Validar búsqueda por palabra clave en el Marketplace</t>
  </si>
  <si>
    <t>El sistema muestra los servicios o proveedores que contengan la palabra ingresada en nombre o descripción.</t>
  </si>
  <si>
    <t>Marketplace activo con registros disponibles.</t>
  </si>
  <si>
    <t>La búsqueda devuelve resultados coherentes según la palabra escrita.</t>
  </si>
  <si>
    <t>Palabra clave: “microscopio”</t>
  </si>
  <si>
    <t>Debe listar solo los servicios o proveedores que coincidan parcial o totalmente con la palabra ingresada.</t>
  </si>
  <si>
    <t>Validar creación de un nuevo usuario desde el panel de administración</t>
  </si>
  <si>
    <t>El sistema permite crear un nuevo usuario y este se visualiza correctamente en la lista general.</t>
  </si>
  <si>
    <t>El usuario se crea correctamente y aparece en el listado del módulo de gestión.</t>
  </si>
  <si>
    <t>Nombre: “Ana Torres”
Correo: ana.torres@correo.cl
Rol: “Investigador”</t>
  </si>
  <si>
    <t>Gestión de Usuarios</t>
  </si>
  <si>
    <t>Los campos obligatorios deben ser validados y el nuevo usuario debe guardarse correctamente.</t>
  </si>
  <si>
    <t>Validar edición de un usuario existente</t>
  </si>
  <si>
    <t>El administrador puede modificar los datos de un usuario y guardar los cambios correctamente.</t>
  </si>
  <si>
    <t>Usuario administrador autenticado y usuario existente seleccionado.</t>
  </si>
  <si>
    <t>Los cambios se guardan y se actualizan en el listado.</t>
  </si>
  <si>
    <t>Cambiar nombre de “Ana Torres” a “Ana P. Torres”</t>
  </si>
  <si>
    <t>Los cambios deben reflejarse inmediatamente sin duplicar registros.</t>
  </si>
  <si>
    <t>Validar eliminación de un usuario desde el panel administrativo</t>
  </si>
  <si>
    <t>El sistema elimina correctamente al usuario seleccionado y muestra mensaje de confirmación.</t>
  </si>
  <si>
    <t>Usuario administrador autenticado con permisos para eliminar registros.</t>
  </si>
  <si>
    <t>El usuario es eliminado y desaparece del listado general.</t>
  </si>
  <si>
    <t>Usuario a eliminar: “Ana P. Torres”</t>
  </si>
  <si>
    <t>El sistema debe pedir confirmación antes de eliminar y no debe afectar otros usuarios.</t>
  </si>
  <si>
    <t>Verificar que los permisos de acceso sean consistentes con cada rol</t>
  </si>
  <si>
    <t>Cada tipo de usuario puede acceder solo a las secciones autorizadas según su rol.</t>
  </si>
  <si>
    <t>Sistema con diferentes tipos de usuarios creados y roles asignados.</t>
  </si>
  <si>
    <t>El acceso restringido se comporta correctamente, mostrando mensajes o redirecciones cuando no hay permiso.</t>
  </si>
  <si>
    <t>Roles: Admin, Lab Manager, Proveedor, Investigador, Estudiante</t>
  </si>
  <si>
    <t>Autenticación / Control de Roles</t>
  </si>
  <si>
    <t>Ningún usuario debe acceder a secciones fuera de su rol definido.</t>
  </si>
  <si>
    <t>Comprobar la asignación correcta de roles al crear o modificar usuarios</t>
  </si>
  <si>
    <t>Los roles asignados a los usuarios se guardan correctamente y determinan su nivel de acceso.</t>
  </si>
  <si>
    <t>Usuario administrador logueado y módulo de usuarios operativo.</t>
  </si>
  <si>
    <t>El rol asignado se guarda correctamente y aplica las restricciones de acceso esperadas.</t>
  </si>
  <si>
    <t>Usuario: “Luis Soto” → Rol asignado: “Lab Manager”</t>
  </si>
  <si>
    <t>Gestión de Roles y Usuarios</t>
  </si>
  <si>
    <t>Los roles deben asignarse correctamente y reflejar los permisos correspondientes.</t>
  </si>
  <si>
    <t>Validar eliminación de institución o laboratorio y manejo de dependencias</t>
  </si>
  <si>
    <t>El sistema solicita confirmación antes de eliminar y no permite la acción si existen dependencias activas.</t>
  </si>
  <si>
    <t>Usuario administrador autenticado y al menos una institución/laboratorio con registros asociados.</t>
  </si>
  <si>
    <t>El sistema muestra un mensaje de advertencia y bloquea la eliminación si hay dependencias.</t>
  </si>
  <si>
    <t>Institución: “Centro Biotecnológico UC” con laboratorios asociados.</t>
  </si>
  <si>
    <t>Gestión de Instituciones / Laboratorios</t>
  </si>
  <si>
    <t>No se debe eliminar una institución con laboratorios asociados sin confirmar la 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</si>
</sst>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24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Inconsolata"/>
    </font>
    <font>
      <sz val="9"/>
      <color rgb="FF000000"/>
      <name val="Calibri"/>
      <family val="2"/>
    </font>
    <font>
      <sz val="20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0" borderId="0" xfId="0" applyFont="1"/>
    <xf numFmtId="0" fontId="1" fillId="3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1" fontId="1" fillId="4" borderId="18" xfId="0" applyNumberFormat="1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wrapText="1"/>
    </xf>
    <xf numFmtId="0" fontId="4" fillId="4" borderId="20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18" xfId="0" applyFont="1" applyFill="1" applyBorder="1"/>
    <xf numFmtId="1" fontId="1" fillId="0" borderId="27" xfId="0" applyNumberFormat="1" applyFont="1" applyBorder="1" applyAlignment="1">
      <alignment horizontal="center" vertical="center" wrapText="1"/>
    </xf>
    <xf numFmtId="0" fontId="1" fillId="5" borderId="0" xfId="0" applyFont="1" applyFill="1"/>
    <xf numFmtId="0" fontId="0" fillId="5" borderId="0" xfId="0" applyFill="1"/>
    <xf numFmtId="0" fontId="5" fillId="6" borderId="1" xfId="0" applyFont="1" applyFill="1" applyBorder="1"/>
    <xf numFmtId="0" fontId="6" fillId="5" borderId="0" xfId="0" applyFont="1" applyFill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27" xfId="0" applyFont="1" applyFill="1" applyBorder="1"/>
    <xf numFmtId="0" fontId="1" fillId="2" borderId="3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9" fillId="2" borderId="1" xfId="0" applyFont="1" applyFill="1" applyBorder="1"/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2" borderId="7" xfId="0" applyFont="1" applyFill="1" applyBorder="1" applyAlignment="1">
      <alignment horizontal="left" vertical="top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2" borderId="28" xfId="0" applyFont="1" applyFill="1" applyBorder="1"/>
    <xf numFmtId="0" fontId="1" fillId="2" borderId="21" xfId="0" applyFont="1" applyFill="1" applyBorder="1"/>
    <xf numFmtId="0" fontId="1" fillId="2" borderId="24" xfId="0" applyFont="1" applyFill="1" applyBorder="1" applyAlignment="1">
      <alignment horizontal="center" vertical="center"/>
    </xf>
    <xf numFmtId="0" fontId="3" fillId="5" borderId="25" xfId="0" applyFont="1" applyFill="1" applyBorder="1"/>
    <xf numFmtId="0" fontId="3" fillId="5" borderId="22" xfId="0" applyFont="1" applyFill="1" applyBorder="1"/>
    <xf numFmtId="0" fontId="1" fillId="2" borderId="26" xfId="0" applyFont="1" applyFill="1" applyBorder="1" applyAlignment="1">
      <alignment vertical="center"/>
    </xf>
    <xf numFmtId="0" fontId="3" fillId="5" borderId="27" xfId="0" applyFont="1" applyFill="1" applyBorder="1"/>
    <xf numFmtId="0" fontId="1" fillId="2" borderId="28" xfId="0" applyFont="1" applyFill="1" applyBorder="1" applyAlignment="1">
      <alignment vertical="center"/>
    </xf>
    <xf numFmtId="0" fontId="3" fillId="5" borderId="21" xfId="0" applyFont="1" applyFill="1" applyBorder="1"/>
    <xf numFmtId="164" fontId="7" fillId="2" borderId="29" xfId="0" applyNumberFormat="1" applyFont="1" applyFill="1" applyBorder="1" applyAlignment="1">
      <alignment horizontal="center" vertical="center"/>
    </xf>
    <xf numFmtId="0" fontId="3" fillId="5" borderId="30" xfId="0" applyFont="1" applyFill="1" applyBorder="1"/>
    <xf numFmtId="0" fontId="3" fillId="5" borderId="31" xfId="0" applyFont="1" applyFill="1" applyBorder="1"/>
    <xf numFmtId="0" fontId="3" fillId="5" borderId="23" xfId="0" applyFont="1" applyFill="1" applyBorder="1"/>
    <xf numFmtId="9" fontId="7" fillId="2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L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21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48-4F12-A801-FDE5779F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296432"/>
        <c:axId val="2024180122"/>
      </c:barChart>
      <c:catAx>
        <c:axId val="1994296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024180122"/>
        <c:crosses val="autoZero"/>
        <c:auto val="1"/>
        <c:lblAlgn val="ctr"/>
        <c:lblOffset val="100"/>
        <c:noMultiLvlLbl val="1"/>
      </c:catAx>
      <c:valAx>
        <c:axId val="20241801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99429643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s-CL"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B13-46B1-99B4-DDECB433063B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B13-46B1-99B4-DDECB433063B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B13-46B1-99B4-DDECB433063B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B13-46B1-99B4-DDECB433063B}"/>
              </c:ext>
            </c:extLst>
          </c:dPt>
          <c:cat>
            <c:strRef>
              <c:f>Control!$D$18:$D$21</c:f>
              <c:strCache>
                <c:ptCount val="1"/>
                <c:pt idx="0">
                  <c:v>Joel Gutiérrez</c:v>
                </c:pt>
              </c:strCache>
            </c:strRef>
          </c:cat>
          <c:val>
            <c:numRef>
              <c:f>Control!$E$18:$E$21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B13-46B1-99B4-DDECB433063B}"/>
            </c:ext>
          </c:extLst>
        </c:ser>
        <c:ser>
          <c:idx val="1"/>
          <c:order val="1"/>
          <c:invertIfNegative val="1"/>
          <c:cat>
            <c:strRef>
              <c:f>Control!$D$18:$D$21</c:f>
              <c:strCache>
                <c:ptCount val="1"/>
                <c:pt idx="0">
                  <c:v>Joel Gutiérrez</c:v>
                </c:pt>
              </c:strCache>
            </c:strRef>
          </c:cat>
          <c:val>
            <c:numRef>
              <c:f>Control!$F$18:$F$21</c:f>
              <c:numCache>
                <c:formatCode>General</c:formatCode>
                <c:ptCount val="4"/>
                <c:pt idx="0">
                  <c:v>23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13-46B1-99B4-DDECB433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035930"/>
        <c:axId val="954254991"/>
      </c:barChart>
      <c:catAx>
        <c:axId val="1502035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954254991"/>
        <c:crosses val="autoZero"/>
        <c:auto val="1"/>
        <c:lblAlgn val="ctr"/>
        <c:lblOffset val="100"/>
        <c:noMultiLvlLbl val="1"/>
      </c:catAx>
      <c:valAx>
        <c:axId val="954254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50203593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0</xdr:row>
      <xdr:rowOff>57150</xdr:rowOff>
    </xdr:from>
    <xdr:ext cx="4314825" cy="2324100"/>
    <xdr:graphicFrame macro="">
      <xdr:nvGraphicFramePr>
        <xdr:cNvPr id="1440807502" name="Chart 1" title="Gráfico">
          <a:extLst>
            <a:ext uri="{FF2B5EF4-FFF2-40B4-BE49-F238E27FC236}">
              <a16:creationId xmlns:a16="http://schemas.microsoft.com/office/drawing/2014/main" id="{00000000-0008-0000-0300-00004EFAE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66675</xdr:colOff>
      <xdr:row>13</xdr:row>
      <xdr:rowOff>104775</xdr:rowOff>
    </xdr:from>
    <xdr:ext cx="4429125" cy="2114550"/>
    <xdr:graphicFrame macro="">
      <xdr:nvGraphicFramePr>
        <xdr:cNvPr id="1196264005" name="Chart 2" title="Gráfico">
          <a:extLst>
            <a:ext uri="{FF2B5EF4-FFF2-40B4-BE49-F238E27FC236}">
              <a16:creationId xmlns:a16="http://schemas.microsoft.com/office/drawing/2014/main" id="{00000000-0008-0000-0300-0000458A4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2" workbookViewId="0">
      <selection activeCell="O9" sqref="O9"/>
    </sheetView>
  </sheetViews>
  <sheetFormatPr baseColWidth="10" defaultColWidth="14.44140625" defaultRowHeight="15" customHeight="1" x14ac:dyDescent="0.3"/>
  <cols>
    <col min="1" max="3" width="3.33203125" customWidth="1"/>
    <col min="4" max="10" width="9.44140625" customWidth="1"/>
    <col min="11" max="12" width="3.33203125" customWidth="1"/>
    <col min="13" max="25" width="10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5"/>
      <c r="C6" s="5"/>
      <c r="D6" s="1"/>
      <c r="E6" s="39" t="s">
        <v>87</v>
      </c>
      <c r="F6" s="40"/>
      <c r="G6" s="40"/>
      <c r="H6" s="40"/>
      <c r="I6" s="41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5"/>
      <c r="C7" s="5"/>
      <c r="D7" s="1"/>
      <c r="E7" s="42"/>
      <c r="F7" s="43"/>
      <c r="G7" s="43"/>
      <c r="H7" s="43"/>
      <c r="I7" s="44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5"/>
      <c r="C8" s="5"/>
      <c r="D8" s="1"/>
      <c r="E8" s="42"/>
      <c r="F8" s="43"/>
      <c r="G8" s="43"/>
      <c r="H8" s="43"/>
      <c r="I8" s="44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5"/>
      <c r="C9" s="5"/>
      <c r="D9" s="1"/>
      <c r="E9" s="42"/>
      <c r="F9" s="43"/>
      <c r="G9" s="43"/>
      <c r="H9" s="43"/>
      <c r="I9" s="44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5"/>
      <c r="C10" s="5"/>
      <c r="D10" s="1"/>
      <c r="E10" s="45"/>
      <c r="F10" s="46"/>
      <c r="G10" s="46"/>
      <c r="H10" s="46"/>
      <c r="I10" s="47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5"/>
      <c r="C35" s="5"/>
      <c r="D35" s="1"/>
      <c r="E35" s="48" t="s">
        <v>86</v>
      </c>
      <c r="F35" s="40"/>
      <c r="G35" s="40"/>
      <c r="H35" s="40"/>
      <c r="I35" s="41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5"/>
      <c r="C36" s="5"/>
      <c r="D36" s="1"/>
      <c r="E36" s="42"/>
      <c r="F36" s="43"/>
      <c r="G36" s="43"/>
      <c r="H36" s="43"/>
      <c r="I36" s="44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5"/>
      <c r="C37" s="5"/>
      <c r="D37" s="1"/>
      <c r="E37" s="42"/>
      <c r="F37" s="43"/>
      <c r="G37" s="43"/>
      <c r="H37" s="43"/>
      <c r="I37" s="44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5"/>
      <c r="C38" s="5"/>
      <c r="D38" s="1"/>
      <c r="E38" s="42"/>
      <c r="F38" s="43"/>
      <c r="G38" s="43"/>
      <c r="H38" s="43"/>
      <c r="I38" s="44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5"/>
      <c r="C39" s="5"/>
      <c r="D39" s="1"/>
      <c r="E39" s="45"/>
      <c r="F39" s="46"/>
      <c r="G39" s="46"/>
      <c r="H39" s="46"/>
      <c r="I39" s="47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1"/>
  <sheetViews>
    <sheetView tabSelected="1" topLeftCell="F1" workbookViewId="0">
      <pane ySplit="1" topLeftCell="A20" activePane="bottomLeft" state="frozen"/>
      <selection pane="bottomLeft" activeCell="J23" sqref="J23"/>
    </sheetView>
  </sheetViews>
  <sheetFormatPr baseColWidth="10" defaultColWidth="14.44140625" defaultRowHeight="15" customHeight="1" x14ac:dyDescent="0.3"/>
  <cols>
    <col min="1" max="1" width="9.21875" customWidth="1"/>
    <col min="2" max="2" width="6.6640625" customWidth="1"/>
    <col min="3" max="3" width="9.77734375" bestFit="1" customWidth="1"/>
    <col min="4" max="4" width="33.109375" customWidth="1"/>
    <col min="5" max="5" width="11" customWidth="1"/>
    <col min="6" max="6" width="27.88671875" customWidth="1"/>
    <col min="7" max="7" width="22.33203125" bestFit="1" customWidth="1"/>
    <col min="8" max="8" width="31.44140625" customWidth="1"/>
    <col min="9" max="9" width="34.5546875" customWidth="1"/>
    <col min="10" max="10" width="19.109375" customWidth="1"/>
    <col min="11" max="11" width="40.88671875" bestFit="1" customWidth="1"/>
    <col min="12" max="13" width="13.5546875" bestFit="1" customWidth="1"/>
    <col min="14" max="14" width="25.77734375" bestFit="1" customWidth="1"/>
    <col min="15" max="15" width="24" bestFit="1" customWidth="1"/>
  </cols>
  <sheetData>
    <row r="1" spans="1:25" ht="14.25" customHeight="1" x14ac:dyDescent="0.3">
      <c r="A1" s="11" t="s">
        <v>7</v>
      </c>
      <c r="B1" s="11"/>
      <c r="C1" s="11" t="s">
        <v>41</v>
      </c>
      <c r="D1" s="11" t="s">
        <v>8</v>
      </c>
      <c r="E1" s="11" t="s">
        <v>9</v>
      </c>
      <c r="F1" s="11" t="s">
        <v>10</v>
      </c>
      <c r="G1" s="12" t="s">
        <v>11</v>
      </c>
      <c r="H1" s="11" t="s">
        <v>12</v>
      </c>
      <c r="I1" s="11" t="s">
        <v>13</v>
      </c>
      <c r="J1" s="11" t="s">
        <v>14</v>
      </c>
      <c r="K1" s="12" t="s">
        <v>15</v>
      </c>
      <c r="L1" s="12" t="s">
        <v>16</v>
      </c>
      <c r="M1" s="11" t="s">
        <v>0</v>
      </c>
      <c r="N1" s="12" t="s">
        <v>4</v>
      </c>
      <c r="O1" s="14" t="s">
        <v>17</v>
      </c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72" x14ac:dyDescent="0.3">
      <c r="A2" s="15" t="s">
        <v>40</v>
      </c>
      <c r="B2" s="15">
        <v>1</v>
      </c>
      <c r="C2" s="15" t="s">
        <v>42</v>
      </c>
      <c r="D2" s="16" t="s">
        <v>43</v>
      </c>
      <c r="E2" s="16" t="s">
        <v>18</v>
      </c>
      <c r="F2" s="16" t="s">
        <v>66</v>
      </c>
      <c r="G2" s="16" t="s">
        <v>67</v>
      </c>
      <c r="H2" s="16" t="s">
        <v>69</v>
      </c>
      <c r="I2" s="16" t="s">
        <v>70</v>
      </c>
      <c r="J2" s="16" t="s">
        <v>71</v>
      </c>
      <c r="K2" s="16" t="s">
        <v>72</v>
      </c>
      <c r="L2" s="16" t="s">
        <v>19</v>
      </c>
      <c r="M2" s="16" t="s">
        <v>3</v>
      </c>
      <c r="N2" s="16" t="s">
        <v>6</v>
      </c>
      <c r="O2" s="16" t="s">
        <v>68</v>
      </c>
      <c r="P2" s="13"/>
      <c r="Q2" s="17"/>
      <c r="R2" s="17"/>
      <c r="S2" s="17"/>
      <c r="T2" s="17"/>
      <c r="U2" s="17"/>
      <c r="V2" s="17"/>
      <c r="W2" s="17"/>
      <c r="X2" s="17"/>
      <c r="Y2" s="17"/>
    </row>
    <row r="3" spans="1:25" ht="57.6" x14ac:dyDescent="0.3">
      <c r="A3" s="15" t="s">
        <v>40</v>
      </c>
      <c r="B3" s="15">
        <v>2</v>
      </c>
      <c r="C3" s="15" t="s">
        <v>44</v>
      </c>
      <c r="D3" s="16" t="s">
        <v>73</v>
      </c>
      <c r="E3" s="16" t="s">
        <v>18</v>
      </c>
      <c r="F3" s="16" t="s">
        <v>74</v>
      </c>
      <c r="G3" s="16" t="s">
        <v>75</v>
      </c>
      <c r="H3" s="16" t="s">
        <v>76</v>
      </c>
      <c r="I3" s="16" t="s">
        <v>77</v>
      </c>
      <c r="J3" s="16" t="s">
        <v>78</v>
      </c>
      <c r="K3" s="16" t="s">
        <v>79</v>
      </c>
      <c r="L3" s="16" t="s">
        <v>19</v>
      </c>
      <c r="M3" s="16" t="s">
        <v>3</v>
      </c>
      <c r="N3" s="16" t="s">
        <v>6</v>
      </c>
      <c r="O3" s="16" t="s">
        <v>68</v>
      </c>
      <c r="P3" s="13"/>
      <c r="Q3" s="17"/>
      <c r="R3" s="17"/>
      <c r="S3" s="17"/>
      <c r="T3" s="17"/>
      <c r="U3" s="17"/>
      <c r="V3" s="17"/>
      <c r="W3" s="17"/>
      <c r="X3" s="17"/>
      <c r="Y3" s="17"/>
    </row>
    <row r="4" spans="1:25" ht="43.2" x14ac:dyDescent="0.3">
      <c r="A4" s="15" t="s">
        <v>40</v>
      </c>
      <c r="B4" s="15">
        <v>3</v>
      </c>
      <c r="C4" s="15" t="s">
        <v>45</v>
      </c>
      <c r="D4" s="16" t="s">
        <v>80</v>
      </c>
      <c r="E4" s="16" t="s">
        <v>18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95</v>
      </c>
      <c r="L4" s="16" t="s">
        <v>19</v>
      </c>
      <c r="M4" s="16" t="s">
        <v>3</v>
      </c>
      <c r="N4" s="16" t="s">
        <v>6</v>
      </c>
      <c r="O4" s="16" t="s">
        <v>68</v>
      </c>
      <c r="P4" s="13"/>
      <c r="Q4" s="17"/>
      <c r="R4" s="17"/>
      <c r="S4" s="17"/>
      <c r="T4" s="17"/>
      <c r="U4" s="17"/>
      <c r="V4" s="17"/>
      <c r="W4" s="17"/>
      <c r="X4" s="17"/>
      <c r="Y4" s="17"/>
    </row>
    <row r="5" spans="1:25" ht="57.6" x14ac:dyDescent="0.3">
      <c r="A5" s="15" t="s">
        <v>40</v>
      </c>
      <c r="B5" s="15">
        <v>4</v>
      </c>
      <c r="C5" s="15" t="s">
        <v>46</v>
      </c>
      <c r="D5" s="16" t="s">
        <v>88</v>
      </c>
      <c r="E5" s="16" t="s">
        <v>18</v>
      </c>
      <c r="F5" s="16" t="s">
        <v>89</v>
      </c>
      <c r="G5" s="16" t="s">
        <v>90</v>
      </c>
      <c r="H5" s="16" t="s">
        <v>91</v>
      </c>
      <c r="I5" s="16" t="s">
        <v>92</v>
      </c>
      <c r="J5" s="16" t="s">
        <v>93</v>
      </c>
      <c r="K5" s="16" t="s">
        <v>94</v>
      </c>
      <c r="L5" s="16" t="s">
        <v>19</v>
      </c>
      <c r="M5" s="16" t="s">
        <v>3</v>
      </c>
      <c r="N5" s="16" t="s">
        <v>6</v>
      </c>
      <c r="O5" s="16" t="s">
        <v>68</v>
      </c>
      <c r="P5" s="13"/>
      <c r="Q5" s="17"/>
      <c r="R5" s="17"/>
      <c r="S5" s="17"/>
      <c r="T5" s="17"/>
      <c r="U5" s="17"/>
      <c r="V5" s="17"/>
      <c r="W5" s="17"/>
      <c r="X5" s="17"/>
      <c r="Y5" s="17"/>
    </row>
    <row r="6" spans="1:25" ht="57.6" x14ac:dyDescent="0.3">
      <c r="A6" s="15" t="s">
        <v>40</v>
      </c>
      <c r="B6" s="15">
        <v>5</v>
      </c>
      <c r="C6" s="15" t="s">
        <v>47</v>
      </c>
      <c r="D6" s="16" t="s">
        <v>96</v>
      </c>
      <c r="E6" s="16" t="s">
        <v>18</v>
      </c>
      <c r="F6" s="16" t="s">
        <v>97</v>
      </c>
      <c r="G6" s="16" t="s">
        <v>98</v>
      </c>
      <c r="H6" s="16" t="s">
        <v>99</v>
      </c>
      <c r="I6" s="16" t="s">
        <v>100</v>
      </c>
      <c r="J6" s="16" t="s">
        <v>101</v>
      </c>
      <c r="K6" s="16" t="s">
        <v>102</v>
      </c>
      <c r="L6" s="16" t="s">
        <v>19</v>
      </c>
      <c r="M6" s="16" t="s">
        <v>3</v>
      </c>
      <c r="N6" s="16" t="s">
        <v>6</v>
      </c>
      <c r="O6" s="16" t="s">
        <v>68</v>
      </c>
      <c r="P6" s="13"/>
      <c r="Q6" s="17"/>
      <c r="R6" s="17"/>
      <c r="S6" s="17"/>
      <c r="T6" s="17"/>
      <c r="U6" s="17"/>
      <c r="V6" s="17"/>
      <c r="W6" s="17"/>
      <c r="X6" s="17"/>
      <c r="Y6" s="17"/>
    </row>
    <row r="7" spans="1:25" ht="43.2" x14ac:dyDescent="0.3">
      <c r="A7" s="15" t="s">
        <v>40</v>
      </c>
      <c r="B7" s="15">
        <v>6</v>
      </c>
      <c r="C7" s="15" t="s">
        <v>48</v>
      </c>
      <c r="D7" s="16" t="s">
        <v>103</v>
      </c>
      <c r="E7" s="16" t="s">
        <v>18</v>
      </c>
      <c r="F7" s="16" t="s">
        <v>104</v>
      </c>
      <c r="G7" s="16" t="s">
        <v>105</v>
      </c>
      <c r="H7" s="16" t="s">
        <v>106</v>
      </c>
      <c r="I7" s="16" t="s">
        <v>107</v>
      </c>
      <c r="J7" s="16" t="s">
        <v>108</v>
      </c>
      <c r="K7" s="16" t="s">
        <v>109</v>
      </c>
      <c r="L7" s="16" t="s">
        <v>19</v>
      </c>
      <c r="M7" s="16" t="s">
        <v>3</v>
      </c>
      <c r="N7" s="16" t="s">
        <v>6</v>
      </c>
      <c r="O7" s="16" t="s">
        <v>68</v>
      </c>
      <c r="P7" s="13"/>
      <c r="Q7" s="17"/>
      <c r="R7" s="17"/>
      <c r="S7" s="17"/>
      <c r="T7" s="17"/>
      <c r="U7" s="17"/>
      <c r="V7" s="17"/>
      <c r="W7" s="17"/>
      <c r="X7" s="17"/>
      <c r="Y7" s="17"/>
    </row>
    <row r="8" spans="1:25" ht="43.2" x14ac:dyDescent="0.3">
      <c r="A8" s="15" t="s">
        <v>40</v>
      </c>
      <c r="B8" s="15">
        <v>7</v>
      </c>
      <c r="C8" s="15" t="s">
        <v>49</v>
      </c>
      <c r="D8" s="16" t="s">
        <v>110</v>
      </c>
      <c r="E8" s="16" t="s">
        <v>18</v>
      </c>
      <c r="F8" s="16" t="s">
        <v>111</v>
      </c>
      <c r="G8" s="16" t="s">
        <v>112</v>
      </c>
      <c r="H8" s="16" t="s">
        <v>113</v>
      </c>
      <c r="I8" s="16" t="s">
        <v>114</v>
      </c>
      <c r="J8" s="16" t="s">
        <v>116</v>
      </c>
      <c r="K8" s="16" t="s">
        <v>115</v>
      </c>
      <c r="L8" s="16" t="s">
        <v>19</v>
      </c>
      <c r="M8" s="16" t="s">
        <v>2</v>
      </c>
      <c r="N8" s="16" t="s">
        <v>6</v>
      </c>
      <c r="O8" s="16" t="s">
        <v>68</v>
      </c>
      <c r="P8" s="13"/>
      <c r="Q8" s="17"/>
      <c r="R8" s="17"/>
      <c r="S8" s="17"/>
      <c r="T8" s="17"/>
      <c r="U8" s="17"/>
      <c r="V8" s="17"/>
      <c r="W8" s="17"/>
      <c r="X8" s="17"/>
      <c r="Y8" s="17"/>
    </row>
    <row r="9" spans="1:25" ht="57.6" x14ac:dyDescent="0.3">
      <c r="A9" s="15" t="s">
        <v>40</v>
      </c>
      <c r="B9" s="15">
        <v>8</v>
      </c>
      <c r="C9" s="15" t="s">
        <v>50</v>
      </c>
      <c r="D9" s="16" t="s">
        <v>117</v>
      </c>
      <c r="E9" s="16" t="s">
        <v>29</v>
      </c>
      <c r="F9" s="16" t="s">
        <v>118</v>
      </c>
      <c r="G9" s="16" t="s">
        <v>119</v>
      </c>
      <c r="H9" s="16" t="s">
        <v>120</v>
      </c>
      <c r="I9" s="16" t="s">
        <v>121</v>
      </c>
      <c r="J9" s="16" t="s">
        <v>122</v>
      </c>
      <c r="K9" s="16" t="s">
        <v>123</v>
      </c>
      <c r="L9" s="16" t="s">
        <v>20</v>
      </c>
      <c r="M9" s="16" t="s">
        <v>3</v>
      </c>
      <c r="N9" s="16" t="s">
        <v>124</v>
      </c>
      <c r="O9" s="16" t="s">
        <v>68</v>
      </c>
      <c r="P9" s="13"/>
      <c r="Q9" s="17"/>
      <c r="R9" s="17"/>
      <c r="S9" s="17"/>
      <c r="T9" s="17"/>
      <c r="U9" s="17"/>
      <c r="V9" s="17"/>
      <c r="W9" s="17"/>
      <c r="X9" s="17"/>
      <c r="Y9" s="17"/>
    </row>
    <row r="10" spans="1:25" ht="57.6" x14ac:dyDescent="0.3">
      <c r="A10" s="15" t="s">
        <v>40</v>
      </c>
      <c r="B10" s="15">
        <v>9</v>
      </c>
      <c r="C10" s="15" t="s">
        <v>51</v>
      </c>
      <c r="D10" s="16" t="s">
        <v>125</v>
      </c>
      <c r="E10" s="16" t="s">
        <v>29</v>
      </c>
      <c r="F10" s="16" t="s">
        <v>126</v>
      </c>
      <c r="G10" s="16" t="s">
        <v>127</v>
      </c>
      <c r="H10" s="16" t="s">
        <v>128</v>
      </c>
      <c r="I10" s="16" t="s">
        <v>129</v>
      </c>
      <c r="J10" s="16" t="s">
        <v>130</v>
      </c>
      <c r="K10" s="16" t="s">
        <v>131</v>
      </c>
      <c r="L10" s="16" t="s">
        <v>20</v>
      </c>
      <c r="M10" s="16" t="s">
        <v>3</v>
      </c>
      <c r="N10" s="16" t="s">
        <v>124</v>
      </c>
      <c r="O10" s="16" t="s">
        <v>68</v>
      </c>
      <c r="P10" s="13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72" x14ac:dyDescent="0.3">
      <c r="A11" s="15" t="s">
        <v>40</v>
      </c>
      <c r="B11" s="15">
        <v>10</v>
      </c>
      <c r="C11" s="15" t="s">
        <v>52</v>
      </c>
      <c r="D11" s="16" t="s">
        <v>132</v>
      </c>
      <c r="E11" s="16" t="s">
        <v>39</v>
      </c>
      <c r="F11" s="16" t="s">
        <v>133</v>
      </c>
      <c r="G11" s="16" t="s">
        <v>134</v>
      </c>
      <c r="H11" s="16" t="s">
        <v>135</v>
      </c>
      <c r="I11" s="16" t="s">
        <v>136</v>
      </c>
      <c r="J11" s="16" t="s">
        <v>122</v>
      </c>
      <c r="K11" s="16" t="s">
        <v>137</v>
      </c>
      <c r="L11" s="16" t="s">
        <v>31</v>
      </c>
      <c r="M11" s="16" t="s">
        <v>3</v>
      </c>
      <c r="N11" s="16" t="s">
        <v>124</v>
      </c>
      <c r="O11" s="16" t="s">
        <v>68</v>
      </c>
      <c r="P11" s="13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72" x14ac:dyDescent="0.3">
      <c r="A12" s="15" t="s">
        <v>40</v>
      </c>
      <c r="B12" s="15">
        <v>11</v>
      </c>
      <c r="C12" s="15" t="s">
        <v>53</v>
      </c>
      <c r="D12" s="16" t="s">
        <v>138</v>
      </c>
      <c r="E12" s="16" t="s">
        <v>37</v>
      </c>
      <c r="F12" s="16" t="s">
        <v>139</v>
      </c>
      <c r="G12" s="16" t="s">
        <v>140</v>
      </c>
      <c r="H12" s="16" t="s">
        <v>141</v>
      </c>
      <c r="I12" s="16" t="s">
        <v>142</v>
      </c>
      <c r="J12" s="16" t="s">
        <v>143</v>
      </c>
      <c r="K12" s="16" t="s">
        <v>144</v>
      </c>
      <c r="L12" s="16" t="s">
        <v>19</v>
      </c>
      <c r="M12" s="16" t="s">
        <v>3</v>
      </c>
      <c r="N12" s="16" t="s">
        <v>124</v>
      </c>
      <c r="O12" s="16" t="s">
        <v>68</v>
      </c>
      <c r="P12" s="13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72" x14ac:dyDescent="0.3">
      <c r="A13" s="15" t="s">
        <v>40</v>
      </c>
      <c r="B13" s="15">
        <v>12</v>
      </c>
      <c r="C13" s="15" t="s">
        <v>54</v>
      </c>
      <c r="D13" s="16" t="s">
        <v>145</v>
      </c>
      <c r="E13" s="16" t="s">
        <v>18</v>
      </c>
      <c r="F13" s="16" t="s">
        <v>146</v>
      </c>
      <c r="G13" s="16" t="s">
        <v>82</v>
      </c>
      <c r="H13" s="16" t="s">
        <v>147</v>
      </c>
      <c r="I13" s="16" t="s">
        <v>148</v>
      </c>
      <c r="J13" s="16" t="s">
        <v>149</v>
      </c>
      <c r="K13" s="16" t="s">
        <v>150</v>
      </c>
      <c r="L13" s="16" t="s">
        <v>19</v>
      </c>
      <c r="M13" s="16" t="s">
        <v>3</v>
      </c>
      <c r="N13" s="16" t="s">
        <v>6</v>
      </c>
      <c r="O13" s="16" t="s">
        <v>68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57.6" x14ac:dyDescent="0.3">
      <c r="A14" s="15" t="s">
        <v>40</v>
      </c>
      <c r="B14" s="15">
        <v>13</v>
      </c>
      <c r="C14" s="15" t="s">
        <v>55</v>
      </c>
      <c r="D14" s="16" t="s">
        <v>151</v>
      </c>
      <c r="E14" s="16" t="s">
        <v>18</v>
      </c>
      <c r="F14" s="16" t="s">
        <v>152</v>
      </c>
      <c r="G14" s="16" t="s">
        <v>153</v>
      </c>
      <c r="H14" s="16" t="s">
        <v>154</v>
      </c>
      <c r="I14" s="16" t="s">
        <v>155</v>
      </c>
      <c r="J14" s="16" t="s">
        <v>78</v>
      </c>
      <c r="K14" s="16" t="s">
        <v>156</v>
      </c>
      <c r="L14" s="16" t="s">
        <v>19</v>
      </c>
      <c r="M14" s="16" t="s">
        <v>2</v>
      </c>
      <c r="N14" s="16" t="s">
        <v>6</v>
      </c>
      <c r="O14" s="16" t="s">
        <v>68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57.6" x14ac:dyDescent="0.3">
      <c r="A15" s="15" t="s">
        <v>40</v>
      </c>
      <c r="B15" s="15">
        <v>14</v>
      </c>
      <c r="C15" s="15" t="s">
        <v>56</v>
      </c>
      <c r="D15" s="16" t="s">
        <v>157</v>
      </c>
      <c r="E15" s="16" t="s">
        <v>18</v>
      </c>
      <c r="F15" s="16" t="s">
        <v>158</v>
      </c>
      <c r="G15" s="16" t="s">
        <v>159</v>
      </c>
      <c r="H15" s="16" t="s">
        <v>160</v>
      </c>
      <c r="I15" s="16" t="s">
        <v>161</v>
      </c>
      <c r="J15" s="16" t="s">
        <v>162</v>
      </c>
      <c r="K15" s="16" t="s">
        <v>163</v>
      </c>
      <c r="L15" s="16" t="s">
        <v>19</v>
      </c>
      <c r="M15" s="16" t="s">
        <v>3</v>
      </c>
      <c r="N15" s="16" t="s">
        <v>6</v>
      </c>
      <c r="O15" s="16" t="s">
        <v>68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72" x14ac:dyDescent="0.3">
      <c r="A16" s="15" t="s">
        <v>40</v>
      </c>
      <c r="B16" s="15">
        <v>15</v>
      </c>
      <c r="C16" s="15" t="s">
        <v>57</v>
      </c>
      <c r="D16" s="16" t="s">
        <v>164</v>
      </c>
      <c r="E16" s="16" t="s">
        <v>18</v>
      </c>
      <c r="F16" s="16" t="s">
        <v>165</v>
      </c>
      <c r="G16" s="16" t="s">
        <v>166</v>
      </c>
      <c r="H16" s="16" t="s">
        <v>167</v>
      </c>
      <c r="I16" s="16" t="s">
        <v>168</v>
      </c>
      <c r="J16" s="16" t="s">
        <v>169</v>
      </c>
      <c r="K16" s="16" t="s">
        <v>170</v>
      </c>
      <c r="L16" s="16" t="s">
        <v>19</v>
      </c>
      <c r="M16" s="16" t="s">
        <v>3</v>
      </c>
      <c r="N16" s="16" t="s">
        <v>6</v>
      </c>
      <c r="O16" s="16" t="s">
        <v>68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57.6" x14ac:dyDescent="0.3">
      <c r="A17" s="15" t="s">
        <v>40</v>
      </c>
      <c r="B17" s="15">
        <v>16</v>
      </c>
      <c r="C17" s="15" t="s">
        <v>58</v>
      </c>
      <c r="D17" s="16" t="s">
        <v>171</v>
      </c>
      <c r="E17" s="16" t="s">
        <v>29</v>
      </c>
      <c r="F17" s="16" t="s">
        <v>172</v>
      </c>
      <c r="G17" s="16" t="s">
        <v>173</v>
      </c>
      <c r="H17" s="16" t="s">
        <v>174</v>
      </c>
      <c r="I17" s="16" t="s">
        <v>175</v>
      </c>
      <c r="J17" s="16" t="s">
        <v>176</v>
      </c>
      <c r="K17" s="16" t="s">
        <v>177</v>
      </c>
      <c r="L17" s="16" t="s">
        <v>20</v>
      </c>
      <c r="M17" s="16" t="s">
        <v>3</v>
      </c>
      <c r="N17" s="16" t="s">
        <v>124</v>
      </c>
      <c r="O17" s="16" t="s">
        <v>68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57.6" x14ac:dyDescent="0.3">
      <c r="A18" s="15" t="s">
        <v>40</v>
      </c>
      <c r="B18" s="15">
        <v>17</v>
      </c>
      <c r="C18" s="15" t="s">
        <v>59</v>
      </c>
      <c r="D18" s="16" t="s">
        <v>178</v>
      </c>
      <c r="E18" s="16" t="s">
        <v>18</v>
      </c>
      <c r="F18" s="16" t="s">
        <v>179</v>
      </c>
      <c r="G18" s="16" t="s">
        <v>180</v>
      </c>
      <c r="H18" s="16" t="s">
        <v>181</v>
      </c>
      <c r="I18" s="16" t="s">
        <v>182</v>
      </c>
      <c r="J18" s="16" t="s">
        <v>101</v>
      </c>
      <c r="K18" s="16" t="s">
        <v>183</v>
      </c>
      <c r="L18" s="16" t="s">
        <v>19</v>
      </c>
      <c r="M18" s="16" t="s">
        <v>3</v>
      </c>
      <c r="N18" s="16" t="s">
        <v>6</v>
      </c>
      <c r="O18" s="16" t="s">
        <v>68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57.6" x14ac:dyDescent="0.3">
      <c r="A19" s="15" t="s">
        <v>40</v>
      </c>
      <c r="B19" s="15">
        <v>18</v>
      </c>
      <c r="C19" s="15" t="s">
        <v>60</v>
      </c>
      <c r="D19" s="16" t="s">
        <v>184</v>
      </c>
      <c r="E19" s="16" t="s">
        <v>18</v>
      </c>
      <c r="F19" s="16" t="s">
        <v>185</v>
      </c>
      <c r="G19" s="16" t="s">
        <v>82</v>
      </c>
      <c r="H19" s="16" t="s">
        <v>186</v>
      </c>
      <c r="I19" s="16" t="s">
        <v>187</v>
      </c>
      <c r="J19" s="16" t="s">
        <v>188</v>
      </c>
      <c r="K19" s="16" t="s">
        <v>189</v>
      </c>
      <c r="L19" s="16" t="s">
        <v>19</v>
      </c>
      <c r="M19" s="16" t="s">
        <v>3</v>
      </c>
      <c r="N19" s="16" t="s">
        <v>124</v>
      </c>
      <c r="O19" s="16" t="s">
        <v>68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57.6" x14ac:dyDescent="0.3">
      <c r="A20" s="15" t="s">
        <v>40</v>
      </c>
      <c r="B20" s="15">
        <v>19</v>
      </c>
      <c r="C20" s="15" t="s">
        <v>61</v>
      </c>
      <c r="D20" s="16" t="s">
        <v>190</v>
      </c>
      <c r="E20" s="16" t="s">
        <v>18</v>
      </c>
      <c r="F20" s="16" t="s">
        <v>191</v>
      </c>
      <c r="G20" s="16" t="s">
        <v>192</v>
      </c>
      <c r="H20" s="16" t="s">
        <v>193</v>
      </c>
      <c r="I20" s="16" t="s">
        <v>194</v>
      </c>
      <c r="J20" s="16" t="s">
        <v>188</v>
      </c>
      <c r="K20" s="16" t="s">
        <v>195</v>
      </c>
      <c r="L20" s="16" t="s">
        <v>19</v>
      </c>
      <c r="M20" s="16" t="s">
        <v>3</v>
      </c>
      <c r="N20" s="16" t="s">
        <v>6</v>
      </c>
      <c r="O20" s="16" t="s">
        <v>68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57.6" x14ac:dyDescent="0.3">
      <c r="A21" s="15" t="s">
        <v>40</v>
      </c>
      <c r="B21" s="15">
        <v>20</v>
      </c>
      <c r="C21" s="15" t="s">
        <v>62</v>
      </c>
      <c r="D21" s="16" t="s">
        <v>196</v>
      </c>
      <c r="E21" s="16" t="s">
        <v>18</v>
      </c>
      <c r="F21" s="16" t="s">
        <v>197</v>
      </c>
      <c r="G21" s="16" t="s">
        <v>198</v>
      </c>
      <c r="H21" s="16" t="s">
        <v>199</v>
      </c>
      <c r="I21" s="16" t="s">
        <v>200</v>
      </c>
      <c r="J21" s="16" t="s">
        <v>188</v>
      </c>
      <c r="K21" s="16" t="s">
        <v>201</v>
      </c>
      <c r="L21" s="16" t="s">
        <v>19</v>
      </c>
      <c r="M21" s="16" t="s">
        <v>3</v>
      </c>
      <c r="N21" s="16" t="s">
        <v>6</v>
      </c>
      <c r="O21" s="16" t="s">
        <v>68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57.6" x14ac:dyDescent="0.3">
      <c r="A22" s="15" t="s">
        <v>40</v>
      </c>
      <c r="B22" s="15">
        <v>21</v>
      </c>
      <c r="C22" s="15" t="s">
        <v>63</v>
      </c>
      <c r="D22" s="16" t="s">
        <v>202</v>
      </c>
      <c r="E22" s="16" t="s">
        <v>18</v>
      </c>
      <c r="F22" s="16" t="s">
        <v>203</v>
      </c>
      <c r="G22" s="16" t="s">
        <v>204</v>
      </c>
      <c r="H22" s="16" t="s">
        <v>205</v>
      </c>
      <c r="I22" s="16" t="s">
        <v>206</v>
      </c>
      <c r="J22" s="16" t="s">
        <v>207</v>
      </c>
      <c r="K22" s="16" t="s">
        <v>208</v>
      </c>
      <c r="L22" s="16" t="s">
        <v>19</v>
      </c>
      <c r="M22" s="16" t="s">
        <v>3</v>
      </c>
      <c r="N22" s="16" t="s">
        <v>124</v>
      </c>
      <c r="O22" s="16" t="s">
        <v>68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57.6" x14ac:dyDescent="0.3">
      <c r="A23" s="15" t="s">
        <v>40</v>
      </c>
      <c r="B23" s="15">
        <v>22</v>
      </c>
      <c r="C23" s="15" t="s">
        <v>64</v>
      </c>
      <c r="D23" s="16" t="s">
        <v>209</v>
      </c>
      <c r="E23" s="16" t="s">
        <v>18</v>
      </c>
      <c r="F23" s="16" t="s">
        <v>210</v>
      </c>
      <c r="G23" s="16" t="s">
        <v>211</v>
      </c>
      <c r="H23" s="16" t="s">
        <v>212</v>
      </c>
      <c r="I23" s="16" t="s">
        <v>213</v>
      </c>
      <c r="J23" s="16" t="s">
        <v>214</v>
      </c>
      <c r="K23" s="16" t="s">
        <v>215</v>
      </c>
      <c r="L23" s="16" t="s">
        <v>19</v>
      </c>
      <c r="M23" s="16" t="s">
        <v>3</v>
      </c>
      <c r="N23" s="16" t="s">
        <v>6</v>
      </c>
      <c r="O23" s="16" t="s">
        <v>68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72" x14ac:dyDescent="0.3">
      <c r="A24" s="15" t="s">
        <v>40</v>
      </c>
      <c r="B24" s="15">
        <v>23</v>
      </c>
      <c r="C24" s="15" t="s">
        <v>65</v>
      </c>
      <c r="D24" s="16" t="s">
        <v>216</v>
      </c>
      <c r="E24" s="16" t="s">
        <v>18</v>
      </c>
      <c r="F24" s="16" t="s">
        <v>217</v>
      </c>
      <c r="G24" s="16" t="s">
        <v>218</v>
      </c>
      <c r="H24" s="16" t="s">
        <v>219</v>
      </c>
      <c r="I24" s="16" t="s">
        <v>220</v>
      </c>
      <c r="J24" s="16" t="s">
        <v>221</v>
      </c>
      <c r="K24" s="16" t="s">
        <v>222</v>
      </c>
      <c r="L24" s="16" t="s">
        <v>19</v>
      </c>
      <c r="M24" s="16" t="s">
        <v>3</v>
      </c>
      <c r="N24" s="16" t="s">
        <v>124</v>
      </c>
      <c r="O24" s="16" t="s">
        <v>68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4.4" x14ac:dyDescent="0.3">
      <c r="A25" s="15"/>
      <c r="B25" s="15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4.4" x14ac:dyDescent="0.3">
      <c r="A26" s="15"/>
      <c r="B26" s="1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4.4" x14ac:dyDescent="0.3">
      <c r="A27" s="15"/>
      <c r="B27" s="15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4.4" x14ac:dyDescent="0.3">
      <c r="A28" s="15"/>
      <c r="B28" s="1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4.4" x14ac:dyDescent="0.3">
      <c r="A29" s="15"/>
      <c r="B29" s="15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4.4" x14ac:dyDescent="0.3">
      <c r="A30" s="15"/>
      <c r="B30" s="1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4.4" x14ac:dyDescent="0.3">
      <c r="A31" s="15"/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4.4" x14ac:dyDescent="0.3">
      <c r="A32" s="15"/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4.4" x14ac:dyDescent="0.3">
      <c r="A33" s="15"/>
      <c r="B33" s="1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4.4" x14ac:dyDescent="0.3">
      <c r="A34" s="15"/>
      <c r="B34" s="15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4.4" x14ac:dyDescent="0.3">
      <c r="A35" s="15"/>
      <c r="B35" s="15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4.4" x14ac:dyDescent="0.3">
      <c r="A36" s="15"/>
      <c r="B36" s="15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4.4" x14ac:dyDescent="0.3">
      <c r="A37" s="15"/>
      <c r="B37" s="15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4.4" x14ac:dyDescent="0.3">
      <c r="A38" s="15"/>
      <c r="B38" s="15"/>
      <c r="C38" s="15"/>
      <c r="D38" s="16"/>
      <c r="E38" s="16"/>
      <c r="F38" s="16"/>
      <c r="G38" s="16"/>
      <c r="H38" s="18"/>
      <c r="I38" s="16"/>
      <c r="J38" s="16"/>
      <c r="K38" s="16"/>
      <c r="L38" s="16"/>
      <c r="M38" s="16"/>
      <c r="N38" s="16"/>
      <c r="O38" s="16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4.4" x14ac:dyDescent="0.3">
      <c r="A39" s="15"/>
      <c r="B39" s="15"/>
      <c r="C39" s="15"/>
      <c r="D39" s="16"/>
      <c r="E39" s="16"/>
      <c r="F39" s="16"/>
      <c r="G39" s="16"/>
      <c r="H39" s="18"/>
      <c r="I39" s="16"/>
      <c r="J39" s="16"/>
      <c r="K39" s="18"/>
      <c r="L39" s="16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4.4" x14ac:dyDescent="0.3">
      <c r="A40" s="15"/>
      <c r="B40" s="15"/>
      <c r="C40" s="15"/>
      <c r="D40" s="16"/>
      <c r="E40" s="16"/>
      <c r="F40" s="16"/>
      <c r="G40" s="16"/>
      <c r="H40" s="18"/>
      <c r="I40" s="16"/>
      <c r="J40" s="16"/>
      <c r="K40" s="18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.4" x14ac:dyDescent="0.3">
      <c r="A41" s="15"/>
      <c r="B41" s="15"/>
      <c r="C41" s="15"/>
      <c r="D41" s="16"/>
      <c r="E41" s="16"/>
      <c r="F41" s="16"/>
      <c r="G41" s="16"/>
      <c r="H41" s="18"/>
      <c r="I41" s="16"/>
      <c r="J41" s="16"/>
      <c r="K41" s="18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4.4" x14ac:dyDescent="0.3">
      <c r="A42" s="15"/>
      <c r="B42" s="15"/>
      <c r="C42" s="15"/>
      <c r="D42" s="16"/>
      <c r="E42" s="16"/>
      <c r="F42" s="16"/>
      <c r="G42" s="16"/>
      <c r="H42" s="18"/>
      <c r="I42" s="16"/>
      <c r="J42" s="16"/>
      <c r="K42" s="18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4.4" x14ac:dyDescent="0.3">
      <c r="A43" s="15"/>
      <c r="B43" s="15"/>
      <c r="C43" s="15"/>
      <c r="D43" s="16"/>
      <c r="E43" s="16"/>
      <c r="F43" s="16"/>
      <c r="G43" s="16"/>
      <c r="H43" s="18"/>
      <c r="I43" s="16"/>
      <c r="J43" s="16"/>
      <c r="K43" s="18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4.4" x14ac:dyDescent="0.3">
      <c r="A44" s="15"/>
      <c r="B44" s="15"/>
      <c r="C44" s="15"/>
      <c r="D44" s="16"/>
      <c r="E44" s="16"/>
      <c r="F44" s="16"/>
      <c r="G44" s="16"/>
      <c r="H44" s="18"/>
      <c r="I44" s="16"/>
      <c r="J44" s="16"/>
      <c r="K44" s="18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4.4" x14ac:dyDescent="0.3">
      <c r="A45" s="15"/>
      <c r="B45" s="15"/>
      <c r="C45" s="15"/>
      <c r="D45" s="16"/>
      <c r="E45" s="16"/>
      <c r="F45" s="16"/>
      <c r="G45" s="16"/>
      <c r="H45" s="18"/>
      <c r="I45" s="16"/>
      <c r="J45" s="16"/>
      <c r="K45" s="18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4.4" x14ac:dyDescent="0.3">
      <c r="A46" s="15"/>
      <c r="B46" s="15"/>
      <c r="C46" s="15"/>
      <c r="D46" s="16"/>
      <c r="E46" s="16"/>
      <c r="F46" s="16"/>
      <c r="G46" s="16"/>
      <c r="H46" s="18"/>
      <c r="I46" s="16"/>
      <c r="J46" s="16"/>
      <c r="K46" s="18"/>
      <c r="L46" s="16"/>
      <c r="M46" s="16"/>
      <c r="N46" s="16"/>
      <c r="O46" s="16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4.4" x14ac:dyDescent="0.3">
      <c r="A47" s="15"/>
      <c r="B47" s="15"/>
      <c r="C47" s="15"/>
      <c r="D47" s="16"/>
      <c r="E47" s="16"/>
      <c r="F47" s="16"/>
      <c r="G47" s="16"/>
      <c r="H47" s="18"/>
      <c r="I47" s="16"/>
      <c r="J47" s="16"/>
      <c r="K47" s="18"/>
      <c r="L47" s="16"/>
      <c r="M47" s="16"/>
      <c r="N47" s="16"/>
      <c r="O47" s="16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4.4" x14ac:dyDescent="0.3">
      <c r="A48" s="15"/>
      <c r="B48" s="15"/>
      <c r="C48" s="15"/>
      <c r="D48" s="16"/>
      <c r="E48" s="16"/>
      <c r="F48" s="16"/>
      <c r="G48" s="16"/>
      <c r="H48" s="18"/>
      <c r="I48" s="16"/>
      <c r="J48" s="16"/>
      <c r="K48" s="18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4.4" x14ac:dyDescent="0.3">
      <c r="A49" s="15"/>
      <c r="B49" s="15"/>
      <c r="C49" s="15"/>
      <c r="D49" s="16"/>
      <c r="E49" s="16"/>
      <c r="F49" s="16"/>
      <c r="G49" s="16"/>
      <c r="H49" s="18"/>
      <c r="I49" s="16"/>
      <c r="J49" s="16"/>
      <c r="K49" s="18"/>
      <c r="L49" s="16"/>
      <c r="M49" s="16"/>
      <c r="N49" s="16"/>
      <c r="O49" s="16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4.4" x14ac:dyDescent="0.3">
      <c r="A50" s="15"/>
      <c r="B50" s="15"/>
      <c r="C50" s="15"/>
      <c r="D50" s="16"/>
      <c r="E50" s="16"/>
      <c r="F50" s="16"/>
      <c r="G50" s="16"/>
      <c r="H50" s="18"/>
      <c r="I50" s="16"/>
      <c r="J50" s="16"/>
      <c r="K50" s="18"/>
      <c r="L50" s="16"/>
      <c r="M50" s="16"/>
      <c r="N50" s="16"/>
      <c r="O50" s="16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4.4" x14ac:dyDescent="0.3">
      <c r="A51" s="15"/>
      <c r="B51" s="15"/>
      <c r="C51" s="15"/>
      <c r="D51" s="16"/>
      <c r="E51" s="16"/>
      <c r="F51" s="16"/>
      <c r="G51" s="16"/>
      <c r="H51" s="18"/>
      <c r="I51" s="16"/>
      <c r="J51" s="16"/>
      <c r="K51" s="18"/>
      <c r="L51" s="16"/>
      <c r="M51" s="16"/>
      <c r="N51" s="16"/>
      <c r="O51" s="16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4.4" x14ac:dyDescent="0.3">
      <c r="A52" s="15"/>
      <c r="B52" s="15"/>
      <c r="C52" s="15"/>
      <c r="D52" s="16"/>
      <c r="E52" s="16"/>
      <c r="F52" s="16"/>
      <c r="G52" s="16"/>
      <c r="H52" s="18"/>
      <c r="I52" s="16"/>
      <c r="J52" s="16"/>
      <c r="K52" s="18"/>
      <c r="L52" s="16"/>
      <c r="M52" s="16"/>
      <c r="N52" s="16"/>
      <c r="O52" s="16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4.4" x14ac:dyDescent="0.3">
      <c r="A53" s="15"/>
      <c r="B53" s="15"/>
      <c r="C53" s="15"/>
      <c r="D53" s="16"/>
      <c r="E53" s="16"/>
      <c r="F53" s="16"/>
      <c r="G53" s="16"/>
      <c r="H53" s="18"/>
      <c r="I53" s="16"/>
      <c r="J53" s="16"/>
      <c r="K53" s="18"/>
      <c r="L53" s="16"/>
      <c r="M53" s="16"/>
      <c r="N53" s="16"/>
      <c r="O53" s="16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4.4" x14ac:dyDescent="0.3">
      <c r="A54" s="15"/>
      <c r="B54" s="15"/>
      <c r="C54" s="15"/>
      <c r="D54" s="16"/>
      <c r="E54" s="16"/>
      <c r="F54" s="16"/>
      <c r="G54" s="16"/>
      <c r="H54" s="18"/>
      <c r="I54" s="16"/>
      <c r="J54" s="16"/>
      <c r="K54" s="18"/>
      <c r="L54" s="16"/>
      <c r="M54" s="16"/>
      <c r="N54" s="16"/>
      <c r="O54" s="16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4.4" x14ac:dyDescent="0.3">
      <c r="A55" s="15"/>
      <c r="B55" s="15"/>
      <c r="C55" s="15"/>
      <c r="D55" s="16"/>
      <c r="E55" s="16"/>
      <c r="F55" s="16"/>
      <c r="G55" s="16"/>
      <c r="H55" s="18"/>
      <c r="I55" s="16"/>
      <c r="J55" s="16"/>
      <c r="K55" s="18"/>
      <c r="L55" s="16"/>
      <c r="M55" s="16"/>
      <c r="N55" s="16"/>
      <c r="O55" s="16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44.25" customHeight="1" x14ac:dyDescent="0.3">
      <c r="A56" s="15"/>
      <c r="B56" s="15"/>
      <c r="C56" s="15"/>
      <c r="D56" s="16"/>
      <c r="E56" s="16"/>
      <c r="F56" s="16"/>
      <c r="G56" s="16"/>
      <c r="H56" s="18"/>
      <c r="I56" s="16"/>
      <c r="J56" s="16"/>
      <c r="K56" s="18"/>
      <c r="L56" s="16"/>
      <c r="M56" s="16"/>
      <c r="N56" s="16"/>
      <c r="O56" s="16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4.4" x14ac:dyDescent="0.3">
      <c r="A57" s="15"/>
      <c r="B57" s="15"/>
      <c r="C57" s="15"/>
      <c r="D57" s="16"/>
      <c r="E57" s="16"/>
      <c r="F57" s="16"/>
      <c r="G57" s="16"/>
      <c r="H57" s="18"/>
      <c r="I57" s="16"/>
      <c r="J57" s="16"/>
      <c r="K57" s="18"/>
      <c r="L57" s="16"/>
      <c r="M57" s="16"/>
      <c r="N57" s="16"/>
      <c r="O57" s="16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4.4" x14ac:dyDescent="0.3">
      <c r="A58" s="15"/>
      <c r="B58" s="15"/>
      <c r="C58" s="15"/>
      <c r="D58" s="16"/>
      <c r="E58" s="16"/>
      <c r="F58" s="16"/>
      <c r="G58" s="16"/>
      <c r="H58" s="19"/>
      <c r="I58" s="16"/>
      <c r="J58" s="16"/>
      <c r="K58" s="18"/>
      <c r="L58" s="16"/>
      <c r="M58" s="16"/>
      <c r="N58" s="16"/>
      <c r="O58" s="16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4.4" x14ac:dyDescent="0.3">
      <c r="A59" s="15"/>
      <c r="B59" s="15"/>
      <c r="C59" s="15"/>
      <c r="D59" s="16"/>
      <c r="E59" s="16"/>
      <c r="F59" s="16"/>
      <c r="G59" s="16"/>
      <c r="H59" s="20"/>
      <c r="I59" s="16"/>
      <c r="J59" s="16"/>
      <c r="K59" s="18"/>
      <c r="L59" s="16"/>
      <c r="M59" s="16"/>
      <c r="N59" s="16"/>
      <c r="O59" s="16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4.4" x14ac:dyDescent="0.3">
      <c r="A60" s="15"/>
      <c r="B60" s="15"/>
      <c r="C60" s="15"/>
      <c r="D60" s="16"/>
      <c r="E60" s="16"/>
      <c r="F60" s="16"/>
      <c r="G60" s="16"/>
      <c r="H60" s="20"/>
      <c r="I60" s="16"/>
      <c r="J60" s="16"/>
      <c r="K60" s="18"/>
      <c r="L60" s="16"/>
      <c r="M60" s="16"/>
      <c r="N60" s="16"/>
      <c r="O60" s="16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4.4" x14ac:dyDescent="0.3">
      <c r="A61" s="15"/>
      <c r="B61" s="15"/>
      <c r="C61" s="15"/>
      <c r="D61" s="16"/>
      <c r="E61" s="16"/>
      <c r="F61" s="16"/>
      <c r="G61" s="16"/>
      <c r="H61" s="20"/>
      <c r="I61" s="16"/>
      <c r="J61" s="16"/>
      <c r="K61" s="18"/>
      <c r="L61" s="16"/>
      <c r="M61" s="16"/>
      <c r="N61" s="16"/>
      <c r="O61" s="16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4.4" x14ac:dyDescent="0.3">
      <c r="A62" s="15"/>
      <c r="B62" s="15"/>
      <c r="C62" s="15"/>
      <c r="D62" s="16"/>
      <c r="E62" s="16"/>
      <c r="F62" s="16"/>
      <c r="G62" s="16"/>
      <c r="H62" s="20"/>
      <c r="I62" s="16"/>
      <c r="J62" s="16"/>
      <c r="K62" s="18"/>
      <c r="L62" s="16"/>
      <c r="M62" s="16"/>
      <c r="N62" s="16"/>
      <c r="O62" s="16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4.4" x14ac:dyDescent="0.3">
      <c r="A63" s="15"/>
      <c r="B63" s="15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8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4.4" x14ac:dyDescent="0.3">
      <c r="A64" s="15"/>
      <c r="B64" s="15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8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4.4" x14ac:dyDescent="0.3">
      <c r="A65" s="15"/>
      <c r="B65" s="15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8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4.4" x14ac:dyDescent="0.3">
      <c r="A66" s="15"/>
      <c r="B66" s="15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8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4.4" x14ac:dyDescent="0.3">
      <c r="A67" s="15"/>
      <c r="B67" s="1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8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4.4" x14ac:dyDescent="0.3">
      <c r="A68" s="15"/>
      <c r="B68" s="15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8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4.4" x14ac:dyDescent="0.3">
      <c r="A69" s="15"/>
      <c r="B69" s="15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8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4.4" x14ac:dyDescent="0.3">
      <c r="A70" s="15"/>
      <c r="B70" s="15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8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4.4" x14ac:dyDescent="0.3">
      <c r="A71" s="15"/>
      <c r="B71" s="15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8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4.4" x14ac:dyDescent="0.3">
      <c r="A72" s="15"/>
      <c r="B72" s="15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8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4.4" x14ac:dyDescent="0.3">
      <c r="A73" s="15"/>
      <c r="B73" s="15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8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4.4" x14ac:dyDescent="0.3">
      <c r="A74" s="15"/>
      <c r="B74" s="15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8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4.4" x14ac:dyDescent="0.3">
      <c r="B75" s="28"/>
      <c r="C75" s="28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4.4" x14ac:dyDescent="0.3">
      <c r="B76" s="28"/>
      <c r="C76" s="28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4.4" x14ac:dyDescent="0.3">
      <c r="B77" s="28"/>
      <c r="C77" s="28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4.4" x14ac:dyDescent="0.3">
      <c r="B78" s="28"/>
      <c r="C78" s="28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4.4" x14ac:dyDescent="0.3">
      <c r="B79" s="28"/>
      <c r="C79" s="28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4.4" x14ac:dyDescent="0.3">
      <c r="B80" s="28"/>
      <c r="C80" s="28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2:25" ht="14.4" x14ac:dyDescent="0.3">
      <c r="B81" s="28"/>
      <c r="C81" s="28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2:25" ht="14.4" x14ac:dyDescent="0.3">
      <c r="B82" s="28"/>
      <c r="C82" s="28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2:25" ht="14.4" x14ac:dyDescent="0.3">
      <c r="B83" s="28"/>
      <c r="C83" s="28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2:25" ht="14.4" x14ac:dyDescent="0.3">
      <c r="B84" s="28"/>
      <c r="C84" s="28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2:25" ht="14.4" x14ac:dyDescent="0.3">
      <c r="B85" s="28"/>
      <c r="C85" s="28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2:25" ht="14.4" x14ac:dyDescent="0.3">
      <c r="B86" s="28"/>
      <c r="C86" s="2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2:25" ht="14.4" x14ac:dyDescent="0.3">
      <c r="B87" s="28"/>
      <c r="C87" s="28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2:25" ht="14.4" x14ac:dyDescent="0.3">
      <c r="B88" s="28"/>
      <c r="C88" s="28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2:25" ht="14.4" x14ac:dyDescent="0.3">
      <c r="B89" s="28"/>
      <c r="C89" s="2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2:25" ht="14.4" x14ac:dyDescent="0.3">
      <c r="B90" s="28"/>
      <c r="C90" s="28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2:25" ht="14.4" x14ac:dyDescent="0.3">
      <c r="B91" s="28"/>
      <c r="C91" s="2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U91" s="13"/>
      <c r="V91" s="13"/>
      <c r="W91" s="13"/>
      <c r="X91" s="13"/>
      <c r="Y91" s="13"/>
    </row>
    <row r="92" spans="2:25" ht="14.4" x14ac:dyDescent="0.3">
      <c r="B92" s="28"/>
      <c r="C92" s="28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2:25" ht="14.4" x14ac:dyDescent="0.3">
      <c r="B93" s="28"/>
      <c r="C93" s="28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2:25" ht="14.4" x14ac:dyDescent="0.3">
      <c r="B94" s="28"/>
      <c r="C94" s="28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2:25" ht="14.4" x14ac:dyDescent="0.3">
      <c r="B95" s="28"/>
      <c r="C95" s="2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2:25" ht="14.4" x14ac:dyDescent="0.3">
      <c r="B96" s="28"/>
      <c r="C96" s="2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2:25" ht="14.4" x14ac:dyDescent="0.3">
      <c r="B97" s="28"/>
      <c r="C97" s="2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2:25" ht="14.4" x14ac:dyDescent="0.3">
      <c r="B98" s="28"/>
      <c r="C98" s="2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2:25" ht="14.4" x14ac:dyDescent="0.3">
      <c r="B99" s="28"/>
      <c r="C99" s="2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2:25" ht="14.4" x14ac:dyDescent="0.3">
      <c r="B100" s="28"/>
      <c r="C100" s="2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2:25" ht="14.4" x14ac:dyDescent="0.3">
      <c r="B101" s="28"/>
      <c r="C101" s="2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2:25" ht="14.4" x14ac:dyDescent="0.3">
      <c r="B102" s="28"/>
      <c r="C102" s="2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2:25" ht="14.4" x14ac:dyDescent="0.3">
      <c r="B103" s="28"/>
      <c r="C103" s="2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2:25" ht="14.4" x14ac:dyDescent="0.3">
      <c r="B104" s="28"/>
      <c r="C104" s="2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2:25" ht="14.4" x14ac:dyDescent="0.3">
      <c r="B105" s="28"/>
      <c r="C105" s="2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2:25" ht="14.4" x14ac:dyDescent="0.3">
      <c r="B106" s="28"/>
      <c r="C106" s="2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2:25" ht="14.4" x14ac:dyDescent="0.3">
      <c r="B107" s="28"/>
      <c r="C107" s="2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2:25" ht="14.4" x14ac:dyDescent="0.3">
      <c r="B108" s="28"/>
      <c r="C108" s="2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2:25" ht="14.4" x14ac:dyDescent="0.3">
      <c r="B109" s="28"/>
      <c r="C109" s="2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2:25" ht="14.4" x14ac:dyDescent="0.3">
      <c r="B110" s="28"/>
      <c r="C110" s="2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2:25" ht="14.4" x14ac:dyDescent="0.3">
      <c r="B111" s="28"/>
      <c r="C111" s="2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2:25" ht="14.4" x14ac:dyDescent="0.3">
      <c r="B112" s="28"/>
      <c r="C112" s="2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2:25" ht="14.4" x14ac:dyDescent="0.3">
      <c r="B113" s="28"/>
      <c r="C113" s="2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2:25" ht="14.4" x14ac:dyDescent="0.3">
      <c r="B114" s="28"/>
      <c r="C114" s="2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2:25" ht="14.4" x14ac:dyDescent="0.3">
      <c r="B115" s="28"/>
      <c r="C115" s="2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2:25" ht="14.4" x14ac:dyDescent="0.3">
      <c r="B116" s="28"/>
      <c r="C116" s="2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2:25" ht="14.4" x14ac:dyDescent="0.3">
      <c r="B117" s="28"/>
      <c r="C117" s="2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2:25" ht="14.4" x14ac:dyDescent="0.3">
      <c r="B118" s="28"/>
      <c r="C118" s="2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2:25" ht="14.4" x14ac:dyDescent="0.3">
      <c r="B119" s="28"/>
      <c r="C119" s="28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2:25" ht="14.4" x14ac:dyDescent="0.3">
      <c r="B120" s="28"/>
      <c r="C120" s="2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2:25" ht="14.4" x14ac:dyDescent="0.3">
      <c r="B121" s="28"/>
      <c r="C121" s="2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2:25" ht="14.4" x14ac:dyDescent="0.3">
      <c r="B122" s="28"/>
      <c r="C122" s="28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2:25" ht="14.4" x14ac:dyDescent="0.3">
      <c r="B123" s="28"/>
      <c r="C123" s="28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2:25" ht="14.4" x14ac:dyDescent="0.3">
      <c r="B124" s="28"/>
      <c r="C124" s="28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2:25" ht="14.4" x14ac:dyDescent="0.3">
      <c r="B125" s="13"/>
      <c r="C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2:25" ht="14.4" x14ac:dyDescent="0.3">
      <c r="B126" s="13"/>
      <c r="C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2:25" ht="14.4" x14ac:dyDescent="0.3">
      <c r="B127" s="13"/>
      <c r="C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2:25" ht="14.4" x14ac:dyDescent="0.3">
      <c r="B128" s="13"/>
      <c r="C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2:25" ht="14.4" x14ac:dyDescent="0.3">
      <c r="B129" s="13"/>
      <c r="C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2:25" ht="14.4" x14ac:dyDescent="0.3">
      <c r="B130" s="13"/>
      <c r="C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2:25" ht="14.4" x14ac:dyDescent="0.3">
      <c r="B131" s="13"/>
      <c r="C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2:25" ht="14.4" x14ac:dyDescent="0.3">
      <c r="B132" s="13"/>
      <c r="C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2:25" ht="14.4" x14ac:dyDescent="0.3">
      <c r="B133" s="13"/>
      <c r="C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2:25" ht="14.4" x14ac:dyDescent="0.3">
      <c r="B134" s="13"/>
      <c r="C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2:25" ht="14.4" x14ac:dyDescent="0.3">
      <c r="B135" s="13"/>
      <c r="C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2:25" ht="14.4" x14ac:dyDescent="0.3">
      <c r="B136" s="13"/>
      <c r="C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2:25" ht="14.4" x14ac:dyDescent="0.3">
      <c r="B137" s="13"/>
      <c r="C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2:25" ht="14.4" x14ac:dyDescent="0.3">
      <c r="B138" s="13"/>
      <c r="C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2:25" ht="14.4" x14ac:dyDescent="0.3">
      <c r="B139" s="13"/>
      <c r="C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2:25" ht="14.4" x14ac:dyDescent="0.3">
      <c r="B140" s="13"/>
      <c r="C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2:25" ht="14.4" x14ac:dyDescent="0.3">
      <c r="B141" s="13"/>
      <c r="C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2:25" ht="14.4" x14ac:dyDescent="0.3">
      <c r="B142" s="13"/>
      <c r="C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2:25" ht="14.4" x14ac:dyDescent="0.3">
      <c r="B143" s="13"/>
      <c r="C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2:25" ht="14.4" x14ac:dyDescent="0.3">
      <c r="B144" s="13"/>
      <c r="C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2:25" ht="14.4" x14ac:dyDescent="0.3">
      <c r="B145" s="13"/>
      <c r="C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2:25" ht="14.4" x14ac:dyDescent="0.3">
      <c r="B146" s="13"/>
      <c r="C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2:25" ht="14.4" x14ac:dyDescent="0.3">
      <c r="B147" s="13"/>
      <c r="C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2:25" ht="14.4" x14ac:dyDescent="0.3">
      <c r="B148" s="13"/>
      <c r="C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2:25" ht="14.4" x14ac:dyDescent="0.3">
      <c r="B149" s="13"/>
      <c r="C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2:25" ht="14.4" x14ac:dyDescent="0.3">
      <c r="B150" s="13"/>
      <c r="C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2:25" ht="14.4" x14ac:dyDescent="0.3">
      <c r="B151" s="13"/>
      <c r="C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2:25" ht="14.4" x14ac:dyDescent="0.3">
      <c r="B152" s="13"/>
      <c r="C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2:25" ht="14.4" x14ac:dyDescent="0.3">
      <c r="B153" s="13"/>
      <c r="C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2:25" ht="14.4" x14ac:dyDescent="0.3">
      <c r="B154" s="13"/>
      <c r="C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2:25" ht="14.4" x14ac:dyDescent="0.3">
      <c r="B155" s="13"/>
      <c r="C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2:25" ht="14.4" x14ac:dyDescent="0.3">
      <c r="B156" s="13"/>
      <c r="C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2:25" ht="14.4" x14ac:dyDescent="0.3">
      <c r="B157" s="13"/>
      <c r="C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2:25" ht="14.4" x14ac:dyDescent="0.3">
      <c r="B158" s="13"/>
      <c r="C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2:25" ht="14.4" x14ac:dyDescent="0.3">
      <c r="B159" s="13"/>
      <c r="C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2:25" ht="14.4" x14ac:dyDescent="0.3">
      <c r="B160" s="13"/>
      <c r="C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2:25" ht="14.4" x14ac:dyDescent="0.3">
      <c r="B161" s="13"/>
      <c r="C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2:25" ht="14.4" x14ac:dyDescent="0.3">
      <c r="B162" s="13"/>
      <c r="C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2:25" ht="14.4" x14ac:dyDescent="0.3">
      <c r="B163" s="13"/>
      <c r="C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2:25" ht="14.4" x14ac:dyDescent="0.3">
      <c r="B164" s="13"/>
      <c r="C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2:25" ht="14.4" x14ac:dyDescent="0.3">
      <c r="B165" s="13"/>
      <c r="C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2:25" ht="14.4" x14ac:dyDescent="0.3">
      <c r="B166" s="13"/>
      <c r="C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2:25" ht="14.4" x14ac:dyDescent="0.3">
      <c r="B167" s="13"/>
      <c r="C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2:25" ht="14.4" x14ac:dyDescent="0.3">
      <c r="B168" s="13"/>
      <c r="C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2:25" ht="14.4" x14ac:dyDescent="0.3">
      <c r="B169" s="13"/>
      <c r="C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2:25" ht="14.4" x14ac:dyDescent="0.3">
      <c r="B170" s="13"/>
      <c r="C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2:25" ht="14.4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2:25" ht="14.4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2:25" ht="14.4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2:25" ht="42" customHeight="1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2:25" ht="14.4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2:25" ht="14.4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2:25" ht="14.4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2:25" ht="14.4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2:25" ht="14.4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2:25" ht="14.4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2:25" ht="14.4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2:25" ht="48" customHeight="1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2:25" ht="14.4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2:25" ht="14.4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2:25" ht="46.5" customHeight="1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2:25" ht="34.5" customHeight="1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2:25" ht="45" customHeight="1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2:25" ht="46.5" customHeight="1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2:25" ht="45" customHeight="1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2:25" ht="43.5" customHeight="1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2:25" ht="37.5" customHeight="1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2:25" ht="36" customHeight="1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2:25" ht="43.5" customHeight="1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2:25" ht="39" customHeight="1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2:25" ht="14.4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2:25" ht="39" customHeight="1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2:25" ht="42" customHeight="1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2:25" ht="14.4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2:25" ht="14.4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2:25" ht="14.4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2:25" ht="42" customHeight="1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2:25" ht="42" customHeight="1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2:25" ht="36" customHeight="1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2:25" ht="37.5" customHeight="1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2:25" ht="48" customHeight="1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2:25" ht="37.5" customHeight="1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2:25" ht="14.4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2:25" ht="14.4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2:25" ht="14.4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2:25" ht="58.5" customHeight="1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2:25" ht="14.4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2:25" ht="14.4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2:25" ht="14.4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2:25" ht="14.4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2:25" ht="14.4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2:25" ht="14.4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2:25" ht="14.4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2:25" ht="14.4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2:25" ht="14.4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2:25" ht="14.4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2:25" ht="14.4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2:25" ht="14.4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2:25" ht="14.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2:25" ht="14.4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2:25" ht="14.4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2:25" ht="14.4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2:25" ht="14.4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2:25" ht="14.4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2:25" ht="14.4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2:25" ht="14.4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2:25" ht="14.4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2:25" ht="14.4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2:25" ht="14.4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2:25" ht="14.4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2:25" ht="14.4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2:25" ht="14.4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2:25" ht="14.4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2:25" ht="14.4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2:25" ht="14.4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2:25" ht="14.4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2:25" ht="14.4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2:25" ht="14.4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2:25" ht="14.4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2:25" ht="14.4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2:25" ht="14.4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2:25" ht="14.4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2:25" ht="14.4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2:25" ht="14.4" x14ac:dyDescent="0.3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2:25" ht="14.4" x14ac:dyDescent="0.3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2:25" ht="14.4" x14ac:dyDescent="0.3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21"/>
      <c r="Q250" s="1"/>
      <c r="R250" s="22"/>
      <c r="S250" s="23"/>
      <c r="T250" s="23"/>
      <c r="U250" s="13"/>
      <c r="V250" s="13"/>
      <c r="W250" s="13"/>
      <c r="X250" s="13"/>
      <c r="Y250" s="13"/>
    </row>
    <row r="251" spans="2:25" ht="14.4" x14ac:dyDescent="0.3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21"/>
      <c r="Q251" s="1"/>
      <c r="R251" s="22"/>
      <c r="S251" s="23"/>
      <c r="T251" s="23"/>
      <c r="U251" s="13"/>
      <c r="V251" s="13"/>
      <c r="W251" s="13"/>
      <c r="X251" s="13"/>
      <c r="Y251" s="13"/>
    </row>
    <row r="252" spans="2:25" ht="14.4" x14ac:dyDescent="0.3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21"/>
      <c r="Q252" s="1"/>
      <c r="R252" s="22"/>
      <c r="S252" s="23"/>
      <c r="T252" s="23"/>
      <c r="U252" s="13"/>
      <c r="V252" s="13"/>
      <c r="W252" s="13"/>
      <c r="X252" s="13"/>
      <c r="Y252" s="13"/>
    </row>
    <row r="253" spans="2:25" ht="14.4" x14ac:dyDescent="0.3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21"/>
      <c r="Q253" s="1"/>
      <c r="R253" s="22"/>
      <c r="S253" s="23"/>
      <c r="T253" s="23"/>
      <c r="U253" s="13"/>
      <c r="V253" s="13"/>
      <c r="W253" s="13"/>
      <c r="X253" s="13"/>
      <c r="Y253" s="13"/>
    </row>
    <row r="254" spans="2:25" ht="14.4" x14ac:dyDescent="0.3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21"/>
      <c r="Q254" s="1"/>
      <c r="R254" s="22"/>
      <c r="S254" s="23"/>
      <c r="T254" s="23"/>
      <c r="U254" s="13"/>
      <c r="V254" s="13"/>
      <c r="W254" s="13"/>
      <c r="X254" s="13"/>
      <c r="Y254" s="13"/>
    </row>
    <row r="255" spans="2:25" ht="14.4" x14ac:dyDescent="0.3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21"/>
      <c r="Q255" s="1"/>
      <c r="R255" s="22"/>
      <c r="S255" s="23"/>
      <c r="T255" s="23"/>
      <c r="U255" s="13"/>
      <c r="V255" s="13"/>
      <c r="W255" s="13"/>
      <c r="X255" s="13"/>
      <c r="Y255" s="13"/>
    </row>
    <row r="256" spans="2:25" ht="14.4" x14ac:dyDescent="0.3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21"/>
      <c r="Q256" s="1"/>
      <c r="R256" s="22"/>
      <c r="S256" s="23"/>
      <c r="T256" s="23"/>
      <c r="U256" s="13"/>
      <c r="V256" s="13"/>
      <c r="W256" s="13"/>
      <c r="X256" s="13"/>
      <c r="Y256" s="13"/>
    </row>
    <row r="257" spans="1:25" ht="14.4" x14ac:dyDescent="0.3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4.4" x14ac:dyDescent="0.3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4.4" x14ac:dyDescent="0.3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4.4" x14ac:dyDescent="0.3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4.4" x14ac:dyDescent="0.3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4.4" x14ac:dyDescent="0.3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4.4" x14ac:dyDescent="0.3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4.4" x14ac:dyDescent="0.3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4.4" x14ac:dyDescent="0.3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4.4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4.4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4.4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4.4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4.4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4.4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4.4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4.4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4.4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4.4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4.4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4.4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4.4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4.4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4.4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4.4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4.4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4.4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4.4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4.4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4.4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4.4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4.4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4.4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4.4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4.4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4.4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4.4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4.4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4.4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4.4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4.4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4.4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4.4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4.4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4.4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4.4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4.4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4.4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4.4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4.4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4.4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4.4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4.4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4.4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4.4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4.4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4.4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4.4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4.4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4.4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4.4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4.4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4.4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4.4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4.4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4.4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4.4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4.4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4.4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4.4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4.4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4.4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4.4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4.4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4.4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4.4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4.4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4.4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4.4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4.4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4.4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4.4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4.4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4.4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4.4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4.4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4.4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4.4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4.4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4.4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4.4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4.4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4.4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4.4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4.4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4.4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4.4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4.4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4.4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4.4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4.4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4.4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4.4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4.4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4.4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4.4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4.4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4.4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4.4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4.4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4.4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4.4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4.4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4.4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4.4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4.4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4.4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4.4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4.4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4.4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4.4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4.4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4.4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4.4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4.4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4.4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4.4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4.4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4.4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4.4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4.4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4.4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4.4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4.4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4.4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4.4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4.4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4.4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4.4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4.4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4.4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4.4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4.4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4.4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4.4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4.4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4.4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4.4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4.4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4.4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4.4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4.4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4.4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4.4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4.4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4.4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4.4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4.4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4.4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4.4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4.4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4.4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4.4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4.4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4.4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4.4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4.4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4.4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4.4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4.4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4.4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4.4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4.4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4.4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4.4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4.4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4.4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 x14ac:dyDescent="0.3"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 x14ac:dyDescent="0.3"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 x14ac:dyDescent="0.3"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 x14ac:dyDescent="0.3"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 x14ac:dyDescent="0.3"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 x14ac:dyDescent="0.3"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 x14ac:dyDescent="0.3"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 x14ac:dyDescent="0.3"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 x14ac:dyDescent="0.3"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 x14ac:dyDescent="0.3"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6:25" ht="15.75" customHeight="1" x14ac:dyDescent="0.3"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6:25" ht="15.75" customHeight="1" x14ac:dyDescent="0.3"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6:25" ht="15.75" customHeight="1" x14ac:dyDescent="0.3"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6:25" ht="15.75" customHeight="1" x14ac:dyDescent="0.3"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6:25" ht="15.75" customHeight="1" x14ac:dyDescent="0.3"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6:25" ht="15.75" customHeight="1" x14ac:dyDescent="0.3"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6:25" ht="15.75" customHeight="1" x14ac:dyDescent="0.3"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6:25" ht="15.75" customHeight="1" x14ac:dyDescent="0.3"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6:25" ht="15.75" customHeight="1" x14ac:dyDescent="0.3"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6:25" ht="15.75" customHeight="1" x14ac:dyDescent="0.3"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6:25" ht="15.75" customHeight="1" x14ac:dyDescent="0.3"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6:25" ht="15.75" customHeight="1" x14ac:dyDescent="0.3"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6:25" ht="15.75" customHeight="1" x14ac:dyDescent="0.3"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6:25" ht="15.75" customHeight="1" x14ac:dyDescent="0.3"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6:25" ht="15.75" customHeight="1" x14ac:dyDescent="0.3"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6:25" ht="15.75" customHeight="1" x14ac:dyDescent="0.3"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6:25" ht="15.75" customHeight="1" x14ac:dyDescent="0.3"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6:25" ht="15.75" customHeight="1" x14ac:dyDescent="0.3"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6:25" ht="15.75" customHeight="1" x14ac:dyDescent="0.3"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6:25" ht="15.75" customHeight="1" x14ac:dyDescent="0.3"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6:25" ht="15.75" customHeight="1" x14ac:dyDescent="0.3"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6:25" ht="15.75" customHeight="1" x14ac:dyDescent="0.3"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6:25" ht="15.75" customHeight="1" x14ac:dyDescent="0.3"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6:25" ht="15.75" customHeight="1" x14ac:dyDescent="0.3"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6:25" ht="15.75" customHeight="1" x14ac:dyDescent="0.3"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6:25" ht="15.75" customHeight="1" x14ac:dyDescent="0.3"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6:25" ht="15.75" customHeight="1" x14ac:dyDescent="0.3"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6:25" ht="15.75" customHeight="1" x14ac:dyDescent="0.3"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6:25" ht="15.75" customHeight="1" x14ac:dyDescent="0.3"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6:25" ht="15.75" customHeight="1" x14ac:dyDescent="0.3"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6:25" ht="15.75" customHeight="1" x14ac:dyDescent="0.3"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6:25" ht="15.75" customHeight="1" x14ac:dyDescent="0.3"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6:25" ht="15.75" customHeight="1" x14ac:dyDescent="0.3"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6:25" ht="15.75" customHeight="1" x14ac:dyDescent="0.3"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6:25" ht="15.75" customHeight="1" x14ac:dyDescent="0.3"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6:25" ht="15.75" customHeight="1" x14ac:dyDescent="0.3"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6:25" ht="15.75" customHeight="1" x14ac:dyDescent="0.3"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6:25" ht="15.75" customHeight="1" x14ac:dyDescent="0.3"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6:25" ht="15.75" customHeight="1" x14ac:dyDescent="0.3"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6:25" ht="15.75" customHeight="1" x14ac:dyDescent="0.3"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6:25" ht="15.75" customHeight="1" x14ac:dyDescent="0.3"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6:25" ht="15.75" customHeight="1" x14ac:dyDescent="0.3"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6:25" ht="15.75" customHeight="1" x14ac:dyDescent="0.3"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6:25" ht="15.75" customHeight="1" x14ac:dyDescent="0.3"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6:25" ht="15.75" customHeight="1" x14ac:dyDescent="0.3"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6:25" ht="15.75" customHeight="1" x14ac:dyDescent="0.3"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6:25" ht="15.75" customHeight="1" x14ac:dyDescent="0.3"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6:25" ht="15.75" customHeight="1" x14ac:dyDescent="0.3"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6:25" ht="15.75" customHeight="1" x14ac:dyDescent="0.3"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6:25" ht="15.75" customHeight="1" x14ac:dyDescent="0.3"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6:25" ht="15.75" customHeight="1" x14ac:dyDescent="0.3"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6:25" ht="15.75" customHeight="1" x14ac:dyDescent="0.3"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6:25" ht="15.75" customHeight="1" x14ac:dyDescent="0.3"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6:25" ht="15.75" customHeight="1" x14ac:dyDescent="0.3"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6:25" ht="15.75" customHeight="1" x14ac:dyDescent="0.3"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6:25" ht="15.75" customHeight="1" x14ac:dyDescent="0.3"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6:25" ht="15.75" customHeight="1" x14ac:dyDescent="0.3"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6:25" ht="15.75" customHeight="1" x14ac:dyDescent="0.3"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6:25" ht="15.75" customHeight="1" x14ac:dyDescent="0.3"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6:25" ht="15.75" customHeight="1" x14ac:dyDescent="0.3"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6:25" ht="15.75" customHeight="1" x14ac:dyDescent="0.3"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6:25" ht="15.75" customHeight="1" x14ac:dyDescent="0.3"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6:25" ht="15.75" customHeight="1" x14ac:dyDescent="0.3"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6:25" ht="15.75" customHeight="1" x14ac:dyDescent="0.3"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6:25" ht="15.75" customHeight="1" x14ac:dyDescent="0.3"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6:25" ht="15.75" customHeight="1" x14ac:dyDescent="0.3"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6:25" ht="15.75" customHeight="1" x14ac:dyDescent="0.3"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6:25" ht="15.75" customHeight="1" x14ac:dyDescent="0.3"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6:25" ht="15.75" customHeight="1" x14ac:dyDescent="0.3"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6:25" ht="15.75" customHeight="1" x14ac:dyDescent="0.3"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6:25" ht="15.75" customHeight="1" x14ac:dyDescent="0.3"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6:25" ht="15.75" customHeight="1" x14ac:dyDescent="0.3"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6:25" ht="15.75" customHeight="1" x14ac:dyDescent="0.3"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6:25" ht="15.75" customHeight="1" x14ac:dyDescent="0.3"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6:25" ht="15.75" customHeight="1" x14ac:dyDescent="0.3"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6:25" ht="15.75" customHeight="1" x14ac:dyDescent="0.3"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6:25" ht="15.75" customHeight="1" x14ac:dyDescent="0.3"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6:25" ht="15.75" customHeight="1" x14ac:dyDescent="0.3"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6:25" ht="15.75" customHeight="1" x14ac:dyDescent="0.3"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6:25" ht="15.75" customHeight="1" x14ac:dyDescent="0.3"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6:25" ht="15.75" customHeight="1" x14ac:dyDescent="0.3"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6:25" ht="15.75" customHeight="1" x14ac:dyDescent="0.3"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6:25" ht="15.75" customHeight="1" x14ac:dyDescent="0.3"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6:25" ht="15.75" customHeight="1" x14ac:dyDescent="0.3"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6:25" ht="15.75" customHeight="1" x14ac:dyDescent="0.3"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6:25" ht="15.75" customHeight="1" x14ac:dyDescent="0.3"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6:25" ht="15.75" customHeight="1" x14ac:dyDescent="0.3"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6:25" ht="15.75" customHeight="1" x14ac:dyDescent="0.3"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6:25" ht="15.75" customHeight="1" x14ac:dyDescent="0.3"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6:25" ht="15.75" customHeight="1" x14ac:dyDescent="0.3"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6:25" ht="15.75" customHeight="1" x14ac:dyDescent="0.3"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6:25" ht="15.75" customHeight="1" x14ac:dyDescent="0.3"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6:25" ht="15.75" customHeight="1" x14ac:dyDescent="0.3"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6:25" ht="15.75" customHeight="1" x14ac:dyDescent="0.3"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6:25" ht="15.75" customHeight="1" x14ac:dyDescent="0.3"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6:25" ht="15.75" customHeight="1" x14ac:dyDescent="0.3"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6:25" ht="15.75" customHeight="1" x14ac:dyDescent="0.3"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6:25" ht="15.75" customHeight="1" x14ac:dyDescent="0.3"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6:25" ht="15.75" customHeight="1" x14ac:dyDescent="0.3"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6:25" ht="15.75" customHeight="1" x14ac:dyDescent="0.3"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6:25" ht="15.75" customHeight="1" x14ac:dyDescent="0.3"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6:25" ht="15.75" customHeight="1" x14ac:dyDescent="0.3"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6:25" ht="15.75" customHeight="1" x14ac:dyDescent="0.3"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6:25" ht="15.75" customHeight="1" x14ac:dyDescent="0.3"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6:25" ht="15.75" customHeight="1" x14ac:dyDescent="0.3"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6:25" ht="15.75" customHeight="1" x14ac:dyDescent="0.3"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6:25" ht="15.75" customHeight="1" x14ac:dyDescent="0.3"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6:25" ht="15.75" customHeight="1" x14ac:dyDescent="0.3"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6:25" ht="15.75" customHeight="1" x14ac:dyDescent="0.3"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6:25" ht="15.75" customHeight="1" x14ac:dyDescent="0.3"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6:25" ht="15.75" customHeight="1" x14ac:dyDescent="0.3"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6:25" ht="15.75" customHeight="1" x14ac:dyDescent="0.3"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6:25" ht="15.75" customHeight="1" x14ac:dyDescent="0.3"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6:25" ht="15.75" customHeight="1" x14ac:dyDescent="0.3"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6:25" ht="15.75" customHeight="1" x14ac:dyDescent="0.3"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6:25" ht="15.75" customHeight="1" x14ac:dyDescent="0.3"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6:25" ht="15.75" customHeight="1" x14ac:dyDescent="0.3"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6:25" ht="15.75" customHeight="1" x14ac:dyDescent="0.3"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6:25" ht="15.75" customHeight="1" x14ac:dyDescent="0.3"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6:25" ht="15.75" customHeight="1" x14ac:dyDescent="0.3"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6:25" ht="15.75" customHeight="1" x14ac:dyDescent="0.3"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6:25" ht="15.75" customHeight="1" x14ac:dyDescent="0.3"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6:25" ht="15.75" customHeight="1" x14ac:dyDescent="0.3"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6:25" ht="15.75" customHeight="1" x14ac:dyDescent="0.3"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6:25" ht="15.75" customHeight="1" x14ac:dyDescent="0.3"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6:25" ht="15.75" customHeight="1" x14ac:dyDescent="0.3"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6:25" ht="15.75" customHeight="1" x14ac:dyDescent="0.3"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6:25" ht="15.75" customHeight="1" x14ac:dyDescent="0.3"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6:25" ht="15.75" customHeight="1" x14ac:dyDescent="0.3"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6:25" ht="15.75" customHeight="1" x14ac:dyDescent="0.3"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6:25" ht="15.75" customHeight="1" x14ac:dyDescent="0.3"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6:25" ht="15.75" customHeight="1" x14ac:dyDescent="0.3"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6:25" ht="15.75" customHeight="1" x14ac:dyDescent="0.3"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6:25" ht="15.75" customHeight="1" x14ac:dyDescent="0.3"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6:25" ht="15.75" customHeight="1" x14ac:dyDescent="0.3"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6:25" ht="15.75" customHeight="1" x14ac:dyDescent="0.3"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6:25" ht="15.75" customHeight="1" x14ac:dyDescent="0.3"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6:25" ht="15.75" customHeight="1" x14ac:dyDescent="0.3"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6:25" ht="15.75" customHeight="1" x14ac:dyDescent="0.3"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6:25" ht="15.75" customHeight="1" x14ac:dyDescent="0.3"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6:25" ht="15.75" customHeight="1" x14ac:dyDescent="0.3"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6:25" ht="15.75" customHeight="1" x14ac:dyDescent="0.3"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6:25" ht="15.75" customHeight="1" x14ac:dyDescent="0.3"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6:25" ht="15.75" customHeight="1" x14ac:dyDescent="0.3"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6:25" ht="15.75" customHeight="1" x14ac:dyDescent="0.3"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6:25" ht="15.75" customHeight="1" x14ac:dyDescent="0.3"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6:25" ht="15.75" customHeight="1" x14ac:dyDescent="0.3"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6:25" ht="15.75" customHeight="1" x14ac:dyDescent="0.3"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6:25" ht="15.75" customHeight="1" x14ac:dyDescent="0.3"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6:25" ht="15.75" customHeight="1" x14ac:dyDescent="0.3"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6:25" ht="15.75" customHeight="1" x14ac:dyDescent="0.3"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6:25" ht="15.75" customHeight="1" x14ac:dyDescent="0.3"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6:25" ht="15.75" customHeight="1" x14ac:dyDescent="0.3"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6:25" ht="15.75" customHeight="1" x14ac:dyDescent="0.3"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6:25" ht="15.75" customHeight="1" x14ac:dyDescent="0.3"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6:25" ht="15.75" customHeight="1" x14ac:dyDescent="0.3"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6:25" ht="15.75" customHeight="1" x14ac:dyDescent="0.3"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6:25" ht="15.75" customHeight="1" x14ac:dyDescent="0.3"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6:25" ht="15.75" customHeight="1" x14ac:dyDescent="0.3"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6:25" ht="15.75" customHeight="1" x14ac:dyDescent="0.3"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6:25" ht="15.75" customHeight="1" x14ac:dyDescent="0.3"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6:25" ht="15.75" customHeight="1" x14ac:dyDescent="0.3"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6:25" ht="15.75" customHeight="1" x14ac:dyDescent="0.3"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6:25" ht="15.75" customHeight="1" x14ac:dyDescent="0.3"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6:25" ht="15.75" customHeight="1" x14ac:dyDescent="0.3"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6:25" ht="15.75" customHeight="1" x14ac:dyDescent="0.3"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6:25" ht="15.75" customHeight="1" x14ac:dyDescent="0.3"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6:25" ht="15.75" customHeight="1" x14ac:dyDescent="0.3"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6:25" ht="15.75" customHeight="1" x14ac:dyDescent="0.3"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6:25" ht="15.75" customHeight="1" x14ac:dyDescent="0.3"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6:25" ht="15.75" customHeight="1" x14ac:dyDescent="0.3"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6:25" ht="15.75" customHeight="1" x14ac:dyDescent="0.3"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6:25" ht="15.75" customHeight="1" x14ac:dyDescent="0.3"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6:25" ht="15.75" customHeight="1" x14ac:dyDescent="0.3"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6:25" ht="15.75" customHeight="1" x14ac:dyDescent="0.3"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6:25" ht="15.75" customHeight="1" x14ac:dyDescent="0.3"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6:25" ht="15.75" customHeight="1" x14ac:dyDescent="0.3"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6:25" ht="15.75" customHeight="1" x14ac:dyDescent="0.3"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6:25" ht="15.75" customHeight="1" x14ac:dyDescent="0.3"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6:25" ht="15.75" customHeight="1" x14ac:dyDescent="0.3"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6:25" ht="15.75" customHeight="1" x14ac:dyDescent="0.3"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6:25" ht="15.75" customHeight="1" x14ac:dyDescent="0.3"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6:25" ht="15.75" customHeight="1" x14ac:dyDescent="0.3"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6:25" ht="15.75" customHeight="1" x14ac:dyDescent="0.3"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6:25" ht="15.75" customHeight="1" x14ac:dyDescent="0.3"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6:25" ht="15.75" customHeight="1" x14ac:dyDescent="0.3"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6:25" ht="15.75" customHeight="1" x14ac:dyDescent="0.3"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6:25" ht="15.75" customHeight="1" x14ac:dyDescent="0.3"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6:25" ht="15.75" customHeight="1" x14ac:dyDescent="0.3"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6:25" ht="15.75" customHeight="1" x14ac:dyDescent="0.3"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6:25" ht="15.75" customHeight="1" x14ac:dyDescent="0.3"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6:25" ht="15.75" customHeight="1" x14ac:dyDescent="0.3"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6:25" ht="15.75" customHeight="1" x14ac:dyDescent="0.3"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6:25" ht="15.75" customHeight="1" x14ac:dyDescent="0.3"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6:25" ht="15.75" customHeight="1" x14ac:dyDescent="0.3"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6:25" ht="15.75" customHeight="1" x14ac:dyDescent="0.3"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6:25" ht="15.75" customHeight="1" x14ac:dyDescent="0.3"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6:25" ht="15.75" customHeight="1" x14ac:dyDescent="0.3"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6:25" ht="15.75" customHeight="1" x14ac:dyDescent="0.3"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6:25" ht="15.75" customHeight="1" x14ac:dyDescent="0.3"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6:25" ht="15.75" customHeight="1" x14ac:dyDescent="0.3"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6:25" ht="15.75" customHeight="1" x14ac:dyDescent="0.3"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6:25" ht="15.75" customHeight="1" x14ac:dyDescent="0.3"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6:25" ht="15.75" customHeight="1" x14ac:dyDescent="0.3"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6:25" ht="15.75" customHeight="1" x14ac:dyDescent="0.3"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6:25" ht="15.75" customHeight="1" x14ac:dyDescent="0.3"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6:25" ht="15.75" customHeight="1" x14ac:dyDescent="0.3"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6:25" ht="15.75" customHeight="1" x14ac:dyDescent="0.3"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6:25" ht="15.75" customHeight="1" x14ac:dyDescent="0.3"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6:25" ht="15.75" customHeight="1" x14ac:dyDescent="0.3"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6:25" ht="15.75" customHeight="1" x14ac:dyDescent="0.3"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6:25" ht="15.75" customHeight="1" x14ac:dyDescent="0.3"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6:25" ht="15.75" customHeight="1" x14ac:dyDescent="0.3"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6:25" ht="15.75" customHeight="1" x14ac:dyDescent="0.3"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6:25" ht="15.75" customHeight="1" x14ac:dyDescent="0.3"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6:25" ht="15.75" customHeight="1" x14ac:dyDescent="0.3"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6:25" ht="15.75" customHeight="1" x14ac:dyDescent="0.3"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6:25" ht="15.75" customHeight="1" x14ac:dyDescent="0.3"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6:25" ht="15.75" customHeight="1" x14ac:dyDescent="0.3"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6:25" ht="15.75" customHeight="1" x14ac:dyDescent="0.3"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6:25" ht="15.75" customHeight="1" x14ac:dyDescent="0.3"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6:25" ht="15.75" customHeight="1" x14ac:dyDescent="0.3"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6:25" ht="15.75" customHeight="1" x14ac:dyDescent="0.3"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6:25" ht="15.75" customHeight="1" x14ac:dyDescent="0.3"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6:25" ht="15.75" customHeight="1" x14ac:dyDescent="0.3"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6:25" ht="15.75" customHeight="1" x14ac:dyDescent="0.3"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6:25" ht="15.75" customHeight="1" x14ac:dyDescent="0.3"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6:25" ht="15.75" customHeight="1" x14ac:dyDescent="0.3"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6:25" ht="15.75" customHeight="1" x14ac:dyDescent="0.3"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6:25" ht="15.75" customHeight="1" x14ac:dyDescent="0.3"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6:25" ht="15.75" customHeight="1" x14ac:dyDescent="0.3"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6:25" ht="15.75" customHeight="1" x14ac:dyDescent="0.3"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6:25" ht="15.75" customHeight="1" x14ac:dyDescent="0.3"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6:25" ht="15.75" customHeight="1" x14ac:dyDescent="0.3"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6:25" ht="15.75" customHeight="1" x14ac:dyDescent="0.3"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6:25" ht="15.75" customHeight="1" x14ac:dyDescent="0.3"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6:25" ht="15.75" customHeight="1" x14ac:dyDescent="0.3"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6:25" ht="15.75" customHeight="1" x14ac:dyDescent="0.3"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6:25" ht="15.75" customHeight="1" x14ac:dyDescent="0.3"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6:25" ht="15.75" customHeight="1" x14ac:dyDescent="0.3"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6:25" ht="15.75" customHeight="1" x14ac:dyDescent="0.3"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6:25" ht="15.75" customHeight="1" x14ac:dyDescent="0.3"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6:25" ht="15.75" customHeight="1" x14ac:dyDescent="0.3"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6:25" ht="15.75" customHeight="1" x14ac:dyDescent="0.3"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6:25" ht="15.75" customHeight="1" x14ac:dyDescent="0.3"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6:25" ht="15.75" customHeight="1" x14ac:dyDescent="0.3"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6:25" ht="15.75" customHeight="1" x14ac:dyDescent="0.3"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6:25" ht="15.75" customHeight="1" x14ac:dyDescent="0.3"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6:25" ht="15.75" customHeight="1" x14ac:dyDescent="0.3"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6:25" ht="15.75" customHeight="1" x14ac:dyDescent="0.3"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6:25" ht="15.75" customHeight="1" x14ac:dyDescent="0.3"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6:25" ht="15.75" customHeight="1" x14ac:dyDescent="0.3"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6:25" ht="15.75" customHeight="1" x14ac:dyDescent="0.3"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6:25" ht="15.75" customHeight="1" x14ac:dyDescent="0.3"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6:25" ht="15.75" customHeight="1" x14ac:dyDescent="0.3"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6:25" ht="15.75" customHeight="1" x14ac:dyDescent="0.3"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6:25" ht="15.75" customHeight="1" x14ac:dyDescent="0.3"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6:25" ht="15.75" customHeight="1" x14ac:dyDescent="0.3"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6:25" ht="15.75" customHeight="1" x14ac:dyDescent="0.3"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6:25" ht="15.75" customHeight="1" x14ac:dyDescent="0.3"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6:25" ht="15.75" customHeight="1" x14ac:dyDescent="0.3"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6:25" ht="15.75" customHeight="1" x14ac:dyDescent="0.3"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6:25" ht="15.75" customHeight="1" x14ac:dyDescent="0.3"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6:25" ht="15.75" customHeight="1" x14ac:dyDescent="0.3"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6:25" ht="15.75" customHeight="1" x14ac:dyDescent="0.3"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6:25" ht="15.75" customHeight="1" x14ac:dyDescent="0.3"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6:25" ht="15.75" customHeight="1" x14ac:dyDescent="0.3"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6:25" ht="15.75" customHeight="1" x14ac:dyDescent="0.3"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6:25" ht="15.75" customHeight="1" x14ac:dyDescent="0.3"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6:25" ht="15.75" customHeight="1" x14ac:dyDescent="0.3"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6:25" ht="15.75" customHeight="1" x14ac:dyDescent="0.3"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6:25" ht="15.75" customHeight="1" x14ac:dyDescent="0.3"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6:25" ht="15.75" customHeight="1" x14ac:dyDescent="0.3"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6:25" ht="15.75" customHeight="1" x14ac:dyDescent="0.3"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6:25" ht="15.75" customHeight="1" x14ac:dyDescent="0.3"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6:25" ht="15.75" customHeight="1" x14ac:dyDescent="0.3"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6:25" ht="15.75" customHeight="1" x14ac:dyDescent="0.3"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6:25" ht="15.75" customHeight="1" x14ac:dyDescent="0.3"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6:25" ht="15.75" customHeight="1" x14ac:dyDescent="0.3"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6:25" ht="15.75" customHeight="1" x14ac:dyDescent="0.3"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6:25" ht="15.75" customHeight="1" x14ac:dyDescent="0.3"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6:25" ht="15.75" customHeight="1" x14ac:dyDescent="0.3"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6:25" ht="15.75" customHeight="1" x14ac:dyDescent="0.3"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6:25" ht="15.75" customHeight="1" x14ac:dyDescent="0.3"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6:25" ht="15.75" customHeight="1" x14ac:dyDescent="0.3"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6:25" ht="15.75" customHeight="1" x14ac:dyDescent="0.3"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6:25" ht="15.75" customHeight="1" x14ac:dyDescent="0.3"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6:25" ht="15.75" customHeight="1" x14ac:dyDescent="0.3"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6:25" ht="15.75" customHeight="1" x14ac:dyDescent="0.3"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6:25" ht="15.75" customHeight="1" x14ac:dyDescent="0.3"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6:25" ht="15.75" customHeight="1" x14ac:dyDescent="0.3"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6:25" ht="15.75" customHeight="1" x14ac:dyDescent="0.3"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6:25" ht="15.75" customHeight="1" x14ac:dyDescent="0.3"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6:25" ht="15.75" customHeight="1" x14ac:dyDescent="0.3"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6:25" ht="15.75" customHeight="1" x14ac:dyDescent="0.3"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6:25" ht="15.75" customHeight="1" x14ac:dyDescent="0.3"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6:25" ht="15.75" customHeight="1" x14ac:dyDescent="0.3"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6:25" ht="15.75" customHeight="1" x14ac:dyDescent="0.3"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6:25" ht="15.75" customHeight="1" x14ac:dyDescent="0.3"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6:25" ht="15.75" customHeight="1" x14ac:dyDescent="0.3"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6:25" ht="15.75" customHeight="1" x14ac:dyDescent="0.3"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6:25" ht="15.75" customHeight="1" x14ac:dyDescent="0.3"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6:25" ht="15.75" customHeight="1" x14ac:dyDescent="0.3"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6:25" ht="15.75" customHeight="1" x14ac:dyDescent="0.3"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6:25" ht="15.75" customHeight="1" x14ac:dyDescent="0.3"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6:25" ht="15.75" customHeight="1" x14ac:dyDescent="0.3"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6:25" ht="15.75" customHeight="1" x14ac:dyDescent="0.3"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6:25" ht="15.75" customHeight="1" x14ac:dyDescent="0.3"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6:25" ht="15.75" customHeight="1" x14ac:dyDescent="0.3"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6:25" ht="15.75" customHeight="1" x14ac:dyDescent="0.3"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6:25" ht="15.75" customHeight="1" x14ac:dyDescent="0.3"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6:25" ht="15.75" customHeight="1" x14ac:dyDescent="0.3"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6:25" ht="15.75" customHeight="1" x14ac:dyDescent="0.3"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6:25" ht="15.75" customHeight="1" x14ac:dyDescent="0.3"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6:25" ht="15.75" customHeight="1" x14ac:dyDescent="0.3"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6:25" ht="15.75" customHeight="1" x14ac:dyDescent="0.3"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6:25" ht="15.75" customHeight="1" x14ac:dyDescent="0.3"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6:25" ht="15.75" customHeight="1" x14ac:dyDescent="0.3"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6:25" ht="15.75" customHeight="1" x14ac:dyDescent="0.3"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6:25" ht="15.75" customHeight="1" x14ac:dyDescent="0.3"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6:25" ht="15.75" customHeight="1" x14ac:dyDescent="0.3"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6:25" ht="15.75" customHeight="1" x14ac:dyDescent="0.3"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6:25" ht="15.75" customHeight="1" x14ac:dyDescent="0.3"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6:25" ht="15.75" customHeight="1" x14ac:dyDescent="0.3"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6:25" ht="15.75" customHeight="1" x14ac:dyDescent="0.3"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6:25" ht="15.75" customHeight="1" x14ac:dyDescent="0.3"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6:25" ht="15.75" customHeight="1" x14ac:dyDescent="0.3"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6:25" ht="15.75" customHeight="1" x14ac:dyDescent="0.3"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6:25" ht="15.75" customHeight="1" x14ac:dyDescent="0.3"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6:25" ht="15.75" customHeight="1" x14ac:dyDescent="0.3"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6:25" ht="15.75" customHeight="1" x14ac:dyDescent="0.3"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6:25" ht="15.75" customHeight="1" x14ac:dyDescent="0.3"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6:25" ht="15.75" customHeight="1" x14ac:dyDescent="0.3"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6:25" ht="15.75" customHeight="1" x14ac:dyDescent="0.3"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6:25" ht="15.75" customHeight="1" x14ac:dyDescent="0.3"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6:25" ht="15.75" customHeight="1" x14ac:dyDescent="0.3"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6:25" ht="15.75" customHeight="1" x14ac:dyDescent="0.3"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6:25" ht="15.75" customHeight="1" x14ac:dyDescent="0.3"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6:25" ht="15.75" customHeight="1" x14ac:dyDescent="0.3"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6:25" ht="15.75" customHeight="1" x14ac:dyDescent="0.3"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6:25" ht="15.75" customHeight="1" x14ac:dyDescent="0.3"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6:25" ht="15.75" customHeight="1" x14ac:dyDescent="0.3"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6:25" ht="15.75" customHeight="1" x14ac:dyDescent="0.3"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6:25" ht="15.75" customHeight="1" x14ac:dyDescent="0.3"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6:25" ht="15.75" customHeight="1" x14ac:dyDescent="0.3"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6:25" ht="15.75" customHeight="1" x14ac:dyDescent="0.3"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6:25" ht="15.75" customHeight="1" x14ac:dyDescent="0.3"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6:25" ht="15.75" customHeight="1" x14ac:dyDescent="0.3"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6:25" ht="15.75" customHeight="1" x14ac:dyDescent="0.3"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6:25" ht="15.75" customHeight="1" x14ac:dyDescent="0.3"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6:25" ht="15.75" customHeight="1" x14ac:dyDescent="0.3"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6:25" ht="15.75" customHeight="1" x14ac:dyDescent="0.3"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6:25" ht="15.75" customHeight="1" x14ac:dyDescent="0.3"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6:25" ht="15.75" customHeight="1" x14ac:dyDescent="0.3"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6:25" ht="15.75" customHeight="1" x14ac:dyDescent="0.3"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6:25" ht="15.75" customHeight="1" x14ac:dyDescent="0.3"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6:25" ht="15.75" customHeight="1" x14ac:dyDescent="0.3"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6:25" ht="15.75" customHeight="1" x14ac:dyDescent="0.3"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6:25" ht="15.75" customHeight="1" x14ac:dyDescent="0.3"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6:25" ht="15.75" customHeight="1" x14ac:dyDescent="0.3"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6:25" ht="15.75" customHeight="1" x14ac:dyDescent="0.3"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6:25" ht="15.75" customHeight="1" x14ac:dyDescent="0.3"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6:25" ht="15.75" customHeight="1" x14ac:dyDescent="0.3"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6:25" ht="15.75" customHeight="1" x14ac:dyDescent="0.3"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6:25" ht="15.75" customHeight="1" x14ac:dyDescent="0.3"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6:25" ht="15.75" customHeight="1" x14ac:dyDescent="0.3"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6:25" ht="15.75" customHeight="1" x14ac:dyDescent="0.3"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</sheetData>
  <autoFilter ref="A1:P313" xr:uid="{00000000-0009-0000-0000-000002000000}"/>
  <phoneticPr fontId="8" type="noConversion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Datos!$B$1:$B$3</xm:f>
          </x14:formula1>
          <xm:sqref>L2:L74</xm:sqref>
        </x14:dataValidation>
        <x14:dataValidation type="list" allowBlank="1" showErrorMessage="1" xr:uid="{00000000-0002-0000-0200-000002000000}">
          <x14:formula1>
            <xm:f>'Datos del plan'!$D$1:$D$2</xm:f>
          </x14:formula1>
          <xm:sqref>N2:N74</xm:sqref>
        </x14:dataValidation>
        <x14:dataValidation type="list" allowBlank="1" showErrorMessage="1" xr:uid="{00000000-0002-0000-0200-000003000000}">
          <x14:formula1>
            <xm:f>'Datos del plan'!$A$1:$A$8</xm:f>
          </x14:formula1>
          <xm:sqref>E2:E74</xm:sqref>
        </x14:dataValidation>
        <x14:dataValidation type="list" allowBlank="1" showErrorMessage="1" xr:uid="{00000000-0002-0000-0200-000000000000}">
          <x14:formula1>
            <xm:f>'Datos del plan'!$B$1:$B$5</xm:f>
          </x14:formula1>
          <xm:sqref>M2:M74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2"/>
  <sheetViews>
    <sheetView workbookViewId="0">
      <selection activeCell="D21" sqref="D21:E21"/>
    </sheetView>
  </sheetViews>
  <sheetFormatPr baseColWidth="10" defaultColWidth="14.44140625" defaultRowHeight="15" customHeight="1" x14ac:dyDescent="0.3"/>
  <cols>
    <col min="1" max="2" width="11.5546875" style="30" customWidth="1"/>
    <col min="3" max="3" width="16.109375" style="30" customWidth="1"/>
    <col min="4" max="4" width="12" style="30" customWidth="1"/>
    <col min="5" max="5" width="4.88671875" style="30" hidden="1" customWidth="1"/>
    <col min="6" max="6" width="10.5546875" style="30" customWidth="1"/>
    <col min="7" max="11" width="10.6640625" style="30" customWidth="1"/>
    <col min="12" max="12" width="5.44140625" style="30" customWidth="1"/>
    <col min="13" max="26" width="10.6640625" style="30" customWidth="1"/>
    <col min="27" max="16384" width="14.44140625" style="30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spans="1:26" ht="14.25" customHeight="1" x14ac:dyDescent="0.3">
      <c r="A2" s="1"/>
      <c r="B2" s="24"/>
      <c r="C2" s="24"/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spans="1:26" ht="14.25" customHeight="1" x14ac:dyDescent="0.3">
      <c r="A3" s="1"/>
      <c r="B3" s="24"/>
      <c r="C3" s="24"/>
      <c r="D3" s="2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spans="1:26" ht="14.25" customHeight="1" x14ac:dyDescent="0.3">
      <c r="A4" s="1"/>
      <c r="B4" s="24"/>
      <c r="C4" s="24"/>
      <c r="D4" s="2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spans="1:26" ht="14.25" customHeight="1" x14ac:dyDescent="0.45">
      <c r="A5" s="1"/>
      <c r="B5" s="1"/>
      <c r="C5" s="1"/>
      <c r="D5" s="24"/>
      <c r="E5" s="24"/>
      <c r="F5" s="24"/>
      <c r="G5" s="1"/>
      <c r="H5" s="1"/>
      <c r="I5" s="1"/>
      <c r="J5" s="1"/>
      <c r="K5" s="1"/>
      <c r="L5" s="1"/>
      <c r="M5" s="1"/>
      <c r="N5" s="1"/>
      <c r="O5" s="1"/>
      <c r="P5" s="31"/>
      <c r="Q5" s="1"/>
      <c r="R5" s="1"/>
      <c r="Z5" s="1"/>
    </row>
    <row r="6" spans="1:26" ht="14.25" customHeight="1" x14ac:dyDescent="0.45">
      <c r="A6" s="1"/>
      <c r="B6" s="59" t="s">
        <v>23</v>
      </c>
      <c r="C6" s="26" t="s">
        <v>3</v>
      </c>
      <c r="D6" s="36">
        <f>COUNTIF('Plan de prueba'!M2:M323,Control!C6)</f>
        <v>21</v>
      </c>
      <c r="E6" s="34"/>
      <c r="F6" s="34"/>
      <c r="G6" s="1"/>
      <c r="H6" s="1"/>
      <c r="I6" s="1"/>
      <c r="J6" s="1"/>
      <c r="K6" s="1"/>
      <c r="L6" s="1"/>
      <c r="M6" s="1"/>
      <c r="N6" s="1"/>
      <c r="O6" s="1"/>
      <c r="P6" s="31"/>
      <c r="Q6" s="1"/>
      <c r="R6" s="1"/>
      <c r="Z6" s="1"/>
    </row>
    <row r="7" spans="1:26" ht="14.25" customHeight="1" x14ac:dyDescent="0.3">
      <c r="A7" s="1"/>
      <c r="B7" s="60"/>
      <c r="C7" s="26" t="s">
        <v>2</v>
      </c>
      <c r="D7" s="36">
        <f>COUNTIF('Plan de prueba'!M2:M323,Control!C7)</f>
        <v>2</v>
      </c>
      <c r="E7" s="34"/>
      <c r="F7" s="3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spans="1:26" ht="14.25" customHeight="1" x14ac:dyDescent="0.3">
      <c r="A8" s="1"/>
      <c r="B8" s="60"/>
      <c r="C8" s="26" t="s">
        <v>21</v>
      </c>
      <c r="D8" s="36">
        <f>COUNTIF('Plan de prueba'!M2:M323,C8)</f>
        <v>0</v>
      </c>
      <c r="E8" s="34"/>
      <c r="F8" s="3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spans="1:26" ht="14.25" customHeight="1" x14ac:dyDescent="0.45">
      <c r="A9" s="1"/>
      <c r="B9" s="60"/>
      <c r="C9" s="26" t="s">
        <v>1</v>
      </c>
      <c r="D9" s="36">
        <f>COUNTIF('Plan de prueba'!M2:M323,C9)</f>
        <v>0</v>
      </c>
      <c r="E9" s="34"/>
      <c r="F9" s="34"/>
      <c r="G9" s="1"/>
      <c r="H9" s="1"/>
      <c r="I9" s="1"/>
      <c r="J9" s="1"/>
      <c r="K9" s="1"/>
      <c r="L9" s="1"/>
      <c r="M9" s="1"/>
      <c r="N9" s="1"/>
      <c r="O9" s="31"/>
      <c r="P9" s="1"/>
      <c r="Q9" s="1"/>
      <c r="R9" s="1"/>
      <c r="Z9" s="1"/>
    </row>
    <row r="10" spans="1:26" ht="14.25" customHeight="1" x14ac:dyDescent="0.3">
      <c r="A10" s="1"/>
      <c r="B10" s="61"/>
      <c r="C10" s="26" t="s">
        <v>24</v>
      </c>
      <c r="D10" s="36">
        <f>COUNTIF('Plan de prueba'!M2:M323,C10)</f>
        <v>0</v>
      </c>
      <c r="E10" s="34"/>
      <c r="F10" s="3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spans="1:26" ht="14.25" customHeight="1" x14ac:dyDescent="0.3">
      <c r="A11" s="1"/>
      <c r="B11" s="25"/>
      <c r="C11" s="25"/>
      <c r="D11" s="34"/>
      <c r="E11" s="35"/>
      <c r="F11" s="3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spans="1:26" ht="14.25" customHeight="1" x14ac:dyDescent="0.3">
      <c r="A12" s="1"/>
      <c r="B12" s="62"/>
      <c r="C12" s="63"/>
      <c r="D12" s="3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spans="1:26" ht="14.25" customHeight="1" x14ac:dyDescent="0.3">
      <c r="A13" s="1"/>
      <c r="B13" s="64" t="s">
        <v>25</v>
      </c>
      <c r="C13" s="65"/>
      <c r="D13" s="33">
        <f>COUNTIF('Plan de prueba'!A2:A223,"*")</f>
        <v>23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spans="1:26" ht="14.25" customHeight="1" x14ac:dyDescent="0.3">
      <c r="A14" s="1"/>
      <c r="B14" s="66" t="s">
        <v>26</v>
      </c>
      <c r="C14" s="67"/>
      <c r="D14" s="70">
        <f>SUM(D6+D7+D9+D10)/D13</f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spans="1:26" ht="14.25" customHeight="1" x14ac:dyDescent="0.3">
      <c r="A15" s="1"/>
      <c r="B15" s="68"/>
      <c r="C15" s="69"/>
      <c r="D15" s="6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spans="1:26" ht="14.25" customHeight="1" x14ac:dyDescent="0.3">
      <c r="A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49" t="s">
        <v>27</v>
      </c>
      <c r="C18" s="50"/>
      <c r="D18" s="57" t="s">
        <v>68</v>
      </c>
      <c r="E18" s="58"/>
      <c r="F18" s="33">
        <f>COUNTIF('Plan de prueba'!$O$2:$O$74,D18)</f>
        <v>23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6" ht="14.25" customHeight="1" x14ac:dyDescent="0.3">
      <c r="A19" s="1"/>
      <c r="B19" s="51"/>
      <c r="C19" s="52"/>
      <c r="D19" s="57"/>
      <c r="E19" s="58"/>
      <c r="F19" s="33">
        <f>COUNTIF('Plan de prueba'!$O$2:$O$74,D19)</f>
        <v>0</v>
      </c>
      <c r="G19" s="29"/>
      <c r="H19" s="29"/>
      <c r="I19" s="29"/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6" ht="14.25" customHeight="1" x14ac:dyDescent="0.3">
      <c r="A20" s="1"/>
      <c r="B20" s="51"/>
      <c r="C20" s="52"/>
      <c r="D20" s="57"/>
      <c r="E20" s="58"/>
      <c r="F20" s="33">
        <f>COUNTIF('Plan de prueba'!$O$2:$O$74,D20)</f>
        <v>0</v>
      </c>
      <c r="G20" s="29"/>
      <c r="H20" s="29"/>
      <c r="I20" s="29"/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6" ht="14.25" customHeight="1" x14ac:dyDescent="0.3">
      <c r="A21" s="1"/>
      <c r="B21" s="53"/>
      <c r="C21" s="54"/>
      <c r="D21" s="57"/>
      <c r="E21" s="58"/>
      <c r="F21" s="27"/>
      <c r="G21" s="29"/>
      <c r="H21" s="29"/>
      <c r="I21" s="29"/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 ht="14.25" customHeight="1" x14ac:dyDescent="0.3">
      <c r="A22" s="1"/>
      <c r="B22" s="1"/>
      <c r="C22" s="1"/>
      <c r="D22" s="1"/>
      <c r="H22" s="29"/>
      <c r="I22" s="29"/>
      <c r="J22" s="29"/>
      <c r="K22" s="2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35"/>
      <c r="D23" s="55" t="s">
        <v>28</v>
      </c>
      <c r="E23" s="56"/>
      <c r="F23" s="37">
        <f>SUM(F18:F21)</f>
        <v>23</v>
      </c>
      <c r="H23" s="29"/>
      <c r="I23" s="29"/>
      <c r="J23" s="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29"/>
      <c r="I24" s="29"/>
      <c r="J24" s="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mergeCells count="11">
    <mergeCell ref="B6:B10"/>
    <mergeCell ref="B12:C12"/>
    <mergeCell ref="B13:C13"/>
    <mergeCell ref="B14:C15"/>
    <mergeCell ref="D14:D15"/>
    <mergeCell ref="B18:C21"/>
    <mergeCell ref="D23:E23"/>
    <mergeCell ref="D21:E21"/>
    <mergeCell ref="D20:E20"/>
    <mergeCell ref="D19:E19"/>
    <mergeCell ref="D18:E18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"/>
  <sheetViews>
    <sheetView workbookViewId="0">
      <selection activeCell="D26" sqref="D26"/>
    </sheetView>
  </sheetViews>
  <sheetFormatPr baseColWidth="10" defaultColWidth="14.44140625" defaultRowHeight="15" customHeight="1" x14ac:dyDescent="0.3"/>
  <sheetData>
    <row r="1" spans="1:8" x14ac:dyDescent="0.3">
      <c r="A1" s="10" t="s">
        <v>18</v>
      </c>
      <c r="B1" s="10" t="s">
        <v>19</v>
      </c>
    </row>
    <row r="2" spans="1:8" x14ac:dyDescent="0.3">
      <c r="A2" s="10" t="s">
        <v>29</v>
      </c>
      <c r="B2" s="10" t="s">
        <v>20</v>
      </c>
    </row>
    <row r="3" spans="1:8" x14ac:dyDescent="0.3">
      <c r="A3" s="10" t="s">
        <v>30</v>
      </c>
      <c r="B3" s="10" t="s">
        <v>31</v>
      </c>
    </row>
    <row r="9" spans="1:8" x14ac:dyDescent="0.3">
      <c r="F9" s="10"/>
      <c r="H9" s="10"/>
    </row>
    <row r="10" spans="1:8" x14ac:dyDescent="0.3">
      <c r="F10" s="10"/>
      <c r="H10" s="10"/>
    </row>
    <row r="11" spans="1:8" x14ac:dyDescent="0.3">
      <c r="F11" s="10"/>
      <c r="H11" s="10"/>
    </row>
    <row r="12" spans="1:8" x14ac:dyDescent="0.3">
      <c r="F12" s="10"/>
      <c r="H12" s="10"/>
    </row>
    <row r="13" spans="1:8" x14ac:dyDescent="0.3">
      <c r="F13" s="1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12.33203125" customWidth="1"/>
    <col min="2" max="2" width="12.44140625" customWidth="1"/>
    <col min="3" max="3" width="6.33203125" customWidth="1"/>
    <col min="4" max="6" width="10.6640625" customWidth="1"/>
  </cols>
  <sheetData>
    <row r="1" spans="1:4" ht="14.25" customHeight="1" x14ac:dyDescent="0.3">
      <c r="A1" s="10" t="s">
        <v>18</v>
      </c>
      <c r="B1" s="10" t="s">
        <v>3</v>
      </c>
      <c r="C1" s="10" t="s">
        <v>32</v>
      </c>
      <c r="D1" s="10" t="s">
        <v>6</v>
      </c>
    </row>
    <row r="2" spans="1:4" ht="14.25" customHeight="1" x14ac:dyDescent="0.3">
      <c r="A2" s="10" t="s">
        <v>29</v>
      </c>
      <c r="B2" s="10" t="s">
        <v>2</v>
      </c>
      <c r="C2" s="10" t="s">
        <v>33</v>
      </c>
      <c r="D2" s="10" t="s">
        <v>5</v>
      </c>
    </row>
    <row r="3" spans="1:4" ht="14.25" customHeight="1" x14ac:dyDescent="0.3">
      <c r="A3" s="10" t="s">
        <v>34</v>
      </c>
      <c r="B3" s="10" t="s">
        <v>21</v>
      </c>
      <c r="C3" s="10" t="s">
        <v>35</v>
      </c>
    </row>
    <row r="4" spans="1:4" ht="14.25" customHeight="1" x14ac:dyDescent="0.3">
      <c r="A4" s="10" t="s">
        <v>36</v>
      </c>
      <c r="B4" s="10" t="s">
        <v>1</v>
      </c>
    </row>
    <row r="5" spans="1:4" ht="14.25" customHeight="1" x14ac:dyDescent="0.3">
      <c r="A5" s="10" t="s">
        <v>22</v>
      </c>
      <c r="B5" s="10" t="s">
        <v>24</v>
      </c>
    </row>
    <row r="6" spans="1:4" ht="14.25" customHeight="1" x14ac:dyDescent="0.3">
      <c r="A6" s="10" t="s">
        <v>37</v>
      </c>
    </row>
    <row r="7" spans="1:4" ht="14.25" customHeight="1" x14ac:dyDescent="0.3">
      <c r="A7" s="10" t="s">
        <v>38</v>
      </c>
    </row>
    <row r="8" spans="1:4" ht="14.25" customHeight="1" x14ac:dyDescent="0.3">
      <c r="A8" s="10" t="s">
        <v>39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Plan de prueba</vt:lpstr>
      <vt:lpstr>Control</vt:lpstr>
      <vt:lpstr>Datos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Joel Gutierrez</cp:lastModifiedBy>
  <dcterms:created xsi:type="dcterms:W3CDTF">2022-11-12T13:19:55Z</dcterms:created>
  <dcterms:modified xsi:type="dcterms:W3CDTF">2025-10-16T01:04:17Z</dcterms:modified>
</cp:coreProperties>
</file>